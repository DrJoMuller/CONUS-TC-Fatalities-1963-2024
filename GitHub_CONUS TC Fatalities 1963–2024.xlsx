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aglefgcu-my.sharepoint.com/personal/joannem_fgcu_edu/Documents/Fatalities Paper/Paper Data/"/>
    </mc:Choice>
  </mc:AlternateContent>
  <xr:revisionPtr revIDLastSave="9" documentId="8_{B53094EA-B83C-4C27-886B-BEB845B17CEE}" xr6:coauthVersionLast="47" xr6:coauthVersionMax="47" xr10:uidLastSave="{F18DE6AC-1082-4511-BA43-90337A862799}"/>
  <bookViews>
    <workbookView xWindow="28680" yWindow="-120" windowWidth="29040" windowHeight="15840" xr2:uid="{0681B53C-4A52-4FF8-884F-6AB01BDE7B18}"/>
  </bookViews>
  <sheets>
    <sheet name="GitHub Data" sheetId="1" r:id="rId1"/>
  </sheets>
  <externalReferences>
    <externalReference r:id="rId2"/>
  </externalReferences>
  <definedNames>
    <definedName name="_xlnm._FilterDatabase" localSheetId="0" hidden="1">'GitHub Data'!$A$1:$AE$768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70" i="1" l="1"/>
  <c r="K770" i="1"/>
  <c r="AB770" i="1"/>
  <c r="Z770" i="1"/>
  <c r="X770" i="1"/>
  <c r="V770" i="1"/>
  <c r="T770" i="1"/>
  <c r="R770" i="1"/>
  <c r="P770" i="1"/>
  <c r="N770" i="1"/>
  <c r="L770" i="1"/>
  <c r="I768" i="1"/>
  <c r="H768" i="1"/>
  <c r="G768" i="1"/>
  <c r="F768" i="1"/>
  <c r="E768" i="1"/>
  <c r="D768" i="1"/>
  <c r="C768" i="1"/>
  <c r="I767" i="1"/>
  <c r="H767" i="1"/>
  <c r="G767" i="1"/>
  <c r="F767" i="1"/>
  <c r="E767" i="1"/>
  <c r="D767" i="1"/>
  <c r="C767" i="1"/>
  <c r="I766" i="1"/>
  <c r="H766" i="1"/>
  <c r="G766" i="1"/>
  <c r="F766" i="1"/>
  <c r="E766" i="1"/>
  <c r="D766" i="1"/>
  <c r="C766" i="1"/>
  <c r="I765" i="1"/>
  <c r="H765" i="1"/>
  <c r="G765" i="1"/>
  <c r="F765" i="1"/>
  <c r="E765" i="1"/>
  <c r="D765" i="1"/>
  <c r="C765" i="1"/>
  <c r="I764" i="1"/>
  <c r="H764" i="1"/>
  <c r="G764" i="1"/>
  <c r="F764" i="1"/>
  <c r="E764" i="1"/>
  <c r="D764" i="1"/>
  <c r="C764" i="1"/>
  <c r="I763" i="1"/>
  <c r="H763" i="1"/>
  <c r="G763" i="1"/>
  <c r="F763" i="1"/>
  <c r="E763" i="1"/>
  <c r="D763" i="1"/>
  <c r="C763" i="1"/>
  <c r="I762" i="1"/>
  <c r="H762" i="1"/>
  <c r="G762" i="1"/>
  <c r="F762" i="1"/>
  <c r="E762" i="1"/>
  <c r="D762" i="1"/>
  <c r="C762" i="1"/>
  <c r="I761" i="1"/>
  <c r="H761" i="1"/>
  <c r="G761" i="1"/>
  <c r="F761" i="1"/>
  <c r="E761" i="1"/>
  <c r="D761" i="1"/>
  <c r="C761" i="1"/>
  <c r="I760" i="1"/>
  <c r="H760" i="1"/>
  <c r="G760" i="1"/>
  <c r="F760" i="1"/>
  <c r="E760" i="1"/>
  <c r="D760" i="1"/>
  <c r="C760" i="1"/>
  <c r="I759" i="1"/>
  <c r="H759" i="1"/>
  <c r="G759" i="1"/>
  <c r="F759" i="1"/>
  <c r="E759" i="1"/>
  <c r="D759" i="1"/>
  <c r="C759" i="1"/>
  <c r="I758" i="1"/>
  <c r="H758" i="1"/>
  <c r="G758" i="1"/>
  <c r="F758" i="1"/>
  <c r="E758" i="1"/>
  <c r="D758" i="1"/>
  <c r="C758" i="1"/>
  <c r="I757" i="1"/>
  <c r="H757" i="1"/>
  <c r="G757" i="1"/>
  <c r="F757" i="1"/>
  <c r="E757" i="1"/>
  <c r="D757" i="1"/>
  <c r="C757" i="1"/>
  <c r="I756" i="1"/>
  <c r="H756" i="1"/>
  <c r="G756" i="1"/>
  <c r="F756" i="1"/>
  <c r="E756" i="1"/>
  <c r="D756" i="1"/>
  <c r="C756" i="1"/>
  <c r="I755" i="1"/>
  <c r="H755" i="1"/>
  <c r="G755" i="1"/>
  <c r="F755" i="1"/>
  <c r="E755" i="1"/>
  <c r="D755" i="1"/>
  <c r="C755" i="1"/>
  <c r="I754" i="1"/>
  <c r="H754" i="1"/>
  <c r="G754" i="1"/>
  <c r="F754" i="1"/>
  <c r="E754" i="1"/>
  <c r="D754" i="1"/>
  <c r="C754" i="1"/>
  <c r="I753" i="1"/>
  <c r="H753" i="1"/>
  <c r="G753" i="1"/>
  <c r="F753" i="1"/>
  <c r="E753" i="1"/>
  <c r="D753" i="1"/>
  <c r="C753" i="1"/>
  <c r="I752" i="1"/>
  <c r="H752" i="1"/>
  <c r="G752" i="1"/>
  <c r="F752" i="1"/>
  <c r="E752" i="1"/>
  <c r="D752" i="1"/>
  <c r="C752" i="1"/>
  <c r="I751" i="1"/>
  <c r="H751" i="1"/>
  <c r="G751" i="1"/>
  <c r="F751" i="1"/>
  <c r="E751" i="1"/>
  <c r="D751" i="1"/>
  <c r="C751" i="1"/>
  <c r="I750" i="1"/>
  <c r="H750" i="1"/>
  <c r="G750" i="1"/>
  <c r="F750" i="1"/>
  <c r="E750" i="1"/>
  <c r="D750" i="1"/>
  <c r="C750" i="1"/>
  <c r="I749" i="1"/>
  <c r="H749" i="1"/>
  <c r="G749" i="1"/>
  <c r="F749" i="1"/>
  <c r="E749" i="1"/>
  <c r="D749" i="1"/>
  <c r="C749" i="1"/>
  <c r="I748" i="1"/>
  <c r="H748" i="1"/>
  <c r="G748" i="1"/>
  <c r="F748" i="1"/>
  <c r="E748" i="1"/>
  <c r="D748" i="1"/>
  <c r="C748" i="1"/>
  <c r="I747" i="1"/>
  <c r="H747" i="1"/>
  <c r="G747" i="1"/>
  <c r="F747" i="1"/>
  <c r="E747" i="1"/>
  <c r="D747" i="1"/>
  <c r="C747" i="1"/>
  <c r="I746" i="1"/>
  <c r="H746" i="1"/>
  <c r="G746" i="1"/>
  <c r="F746" i="1"/>
  <c r="E746" i="1"/>
  <c r="D746" i="1"/>
  <c r="C746" i="1"/>
  <c r="I745" i="1"/>
  <c r="H745" i="1"/>
  <c r="G745" i="1"/>
  <c r="F745" i="1"/>
  <c r="E745" i="1"/>
  <c r="D745" i="1"/>
  <c r="C745" i="1"/>
  <c r="I744" i="1"/>
  <c r="H744" i="1"/>
  <c r="G744" i="1"/>
  <c r="F744" i="1"/>
  <c r="E744" i="1"/>
  <c r="D744" i="1"/>
  <c r="C744" i="1"/>
  <c r="I743" i="1"/>
  <c r="H743" i="1"/>
  <c r="G743" i="1"/>
  <c r="F743" i="1"/>
  <c r="E743" i="1"/>
  <c r="D743" i="1"/>
  <c r="C743" i="1"/>
  <c r="I742" i="1"/>
  <c r="H742" i="1"/>
  <c r="G742" i="1"/>
  <c r="F742" i="1"/>
  <c r="E742" i="1"/>
  <c r="D742" i="1"/>
  <c r="C742" i="1"/>
  <c r="I741" i="1"/>
  <c r="H741" i="1"/>
  <c r="G741" i="1"/>
  <c r="F741" i="1"/>
  <c r="E741" i="1"/>
  <c r="D741" i="1"/>
  <c r="C741" i="1"/>
  <c r="I740" i="1"/>
  <c r="H740" i="1"/>
  <c r="G740" i="1"/>
  <c r="F740" i="1"/>
  <c r="E740" i="1"/>
  <c r="D740" i="1"/>
  <c r="C740" i="1"/>
  <c r="I739" i="1"/>
  <c r="H739" i="1"/>
  <c r="G739" i="1"/>
  <c r="F739" i="1"/>
  <c r="E739" i="1"/>
  <c r="D739" i="1"/>
  <c r="C739" i="1"/>
  <c r="I738" i="1"/>
  <c r="H738" i="1"/>
  <c r="G738" i="1"/>
  <c r="F738" i="1"/>
  <c r="E738" i="1"/>
  <c r="D738" i="1"/>
  <c r="C738" i="1"/>
  <c r="I737" i="1"/>
  <c r="H737" i="1"/>
  <c r="G737" i="1"/>
  <c r="F737" i="1"/>
  <c r="E737" i="1"/>
  <c r="D737" i="1"/>
  <c r="C737" i="1"/>
  <c r="I736" i="1"/>
  <c r="H736" i="1"/>
  <c r="G736" i="1"/>
  <c r="F736" i="1"/>
  <c r="E736" i="1"/>
  <c r="D736" i="1"/>
  <c r="C736" i="1"/>
  <c r="I735" i="1"/>
  <c r="H735" i="1"/>
  <c r="G735" i="1"/>
  <c r="F735" i="1"/>
  <c r="E735" i="1"/>
  <c r="D735" i="1"/>
  <c r="C735" i="1"/>
  <c r="I734" i="1"/>
  <c r="H734" i="1"/>
  <c r="G734" i="1"/>
  <c r="F734" i="1"/>
  <c r="E734" i="1"/>
  <c r="D734" i="1"/>
  <c r="C734" i="1"/>
  <c r="I733" i="1"/>
  <c r="H733" i="1"/>
  <c r="G733" i="1"/>
  <c r="F733" i="1"/>
  <c r="E733" i="1"/>
  <c r="D733" i="1"/>
  <c r="C733" i="1"/>
  <c r="I732" i="1"/>
  <c r="H732" i="1"/>
  <c r="G732" i="1"/>
  <c r="F732" i="1"/>
  <c r="E732" i="1"/>
  <c r="D732" i="1"/>
  <c r="C732" i="1"/>
  <c r="I731" i="1"/>
  <c r="H731" i="1"/>
  <c r="G731" i="1"/>
  <c r="F731" i="1"/>
  <c r="E731" i="1"/>
  <c r="D731" i="1"/>
  <c r="C731" i="1"/>
  <c r="I730" i="1"/>
  <c r="H730" i="1"/>
  <c r="G730" i="1"/>
  <c r="F730" i="1"/>
  <c r="E730" i="1"/>
  <c r="D730" i="1"/>
  <c r="C730" i="1"/>
  <c r="I729" i="1"/>
  <c r="H729" i="1"/>
  <c r="G729" i="1"/>
  <c r="F729" i="1"/>
  <c r="E729" i="1"/>
  <c r="D729" i="1"/>
  <c r="C729" i="1"/>
  <c r="I728" i="1"/>
  <c r="H728" i="1"/>
  <c r="G728" i="1"/>
  <c r="F728" i="1"/>
  <c r="E728" i="1"/>
  <c r="D728" i="1"/>
  <c r="C728" i="1"/>
  <c r="I727" i="1"/>
  <c r="H727" i="1"/>
  <c r="G727" i="1"/>
  <c r="F727" i="1"/>
  <c r="E727" i="1"/>
  <c r="D727" i="1"/>
  <c r="C727" i="1"/>
  <c r="I726" i="1"/>
  <c r="H726" i="1"/>
  <c r="G726" i="1"/>
  <c r="F726" i="1"/>
  <c r="E726" i="1"/>
  <c r="D726" i="1"/>
  <c r="C726" i="1"/>
  <c r="I725" i="1"/>
  <c r="H725" i="1"/>
  <c r="G725" i="1"/>
  <c r="F725" i="1"/>
  <c r="E725" i="1"/>
  <c r="D725" i="1"/>
  <c r="C725" i="1"/>
  <c r="I724" i="1"/>
  <c r="H724" i="1"/>
  <c r="G724" i="1"/>
  <c r="F724" i="1"/>
  <c r="E724" i="1"/>
  <c r="D724" i="1"/>
  <c r="C724" i="1"/>
  <c r="I723" i="1"/>
  <c r="H723" i="1"/>
  <c r="G723" i="1"/>
  <c r="F723" i="1"/>
  <c r="E723" i="1"/>
  <c r="D723" i="1"/>
  <c r="C723" i="1"/>
  <c r="I722" i="1"/>
  <c r="H722" i="1"/>
  <c r="G722" i="1"/>
  <c r="F722" i="1"/>
  <c r="E722" i="1"/>
  <c r="D722" i="1"/>
  <c r="C722" i="1"/>
  <c r="I721" i="1"/>
  <c r="H721" i="1"/>
  <c r="G721" i="1"/>
  <c r="F721" i="1"/>
  <c r="E721" i="1"/>
  <c r="D721" i="1"/>
  <c r="C721" i="1"/>
  <c r="I720" i="1"/>
  <c r="H720" i="1"/>
  <c r="G720" i="1"/>
  <c r="F720" i="1"/>
  <c r="E720" i="1"/>
  <c r="D720" i="1"/>
  <c r="C720" i="1"/>
  <c r="I719" i="1"/>
  <c r="H719" i="1"/>
  <c r="G719" i="1"/>
  <c r="F719" i="1"/>
  <c r="E719" i="1"/>
  <c r="D719" i="1"/>
  <c r="C719" i="1"/>
  <c r="I718" i="1"/>
  <c r="H718" i="1"/>
  <c r="G718" i="1"/>
  <c r="F718" i="1"/>
  <c r="E718" i="1"/>
  <c r="D718" i="1"/>
  <c r="C718" i="1"/>
  <c r="I717" i="1"/>
  <c r="H717" i="1"/>
  <c r="G717" i="1"/>
  <c r="F717" i="1"/>
  <c r="E717" i="1"/>
  <c r="D717" i="1"/>
  <c r="C717" i="1"/>
  <c r="I716" i="1"/>
  <c r="H716" i="1"/>
  <c r="G716" i="1"/>
  <c r="F716" i="1"/>
  <c r="E716" i="1"/>
  <c r="D716" i="1"/>
  <c r="C716" i="1"/>
  <c r="I715" i="1"/>
  <c r="H715" i="1"/>
  <c r="G715" i="1"/>
  <c r="F715" i="1"/>
  <c r="E715" i="1"/>
  <c r="D715" i="1"/>
  <c r="C715" i="1"/>
  <c r="I714" i="1"/>
  <c r="H714" i="1"/>
  <c r="G714" i="1"/>
  <c r="F714" i="1"/>
  <c r="E714" i="1"/>
  <c r="D714" i="1"/>
  <c r="C714" i="1"/>
  <c r="I713" i="1"/>
  <c r="H713" i="1"/>
  <c r="G713" i="1"/>
  <c r="F713" i="1"/>
  <c r="E713" i="1"/>
  <c r="D713" i="1"/>
  <c r="C713" i="1"/>
  <c r="I712" i="1"/>
  <c r="H712" i="1"/>
  <c r="G712" i="1"/>
  <c r="F712" i="1"/>
  <c r="E712" i="1"/>
  <c r="D712" i="1"/>
  <c r="C712" i="1"/>
  <c r="I711" i="1"/>
  <c r="H711" i="1"/>
  <c r="G711" i="1"/>
  <c r="F711" i="1"/>
  <c r="E711" i="1"/>
  <c r="D711" i="1"/>
  <c r="C711" i="1"/>
  <c r="I710" i="1"/>
  <c r="H710" i="1"/>
  <c r="G710" i="1"/>
  <c r="F710" i="1"/>
  <c r="E710" i="1"/>
  <c r="D710" i="1"/>
  <c r="C710" i="1"/>
  <c r="I709" i="1"/>
  <c r="H709" i="1"/>
  <c r="G709" i="1"/>
  <c r="F709" i="1"/>
  <c r="E709" i="1"/>
  <c r="D709" i="1"/>
  <c r="C709" i="1"/>
  <c r="I708" i="1"/>
  <c r="H708" i="1"/>
  <c r="G708" i="1"/>
  <c r="F708" i="1"/>
  <c r="E708" i="1"/>
  <c r="D708" i="1"/>
  <c r="C708" i="1"/>
  <c r="I707" i="1"/>
  <c r="H707" i="1"/>
  <c r="G707" i="1"/>
  <c r="F707" i="1"/>
  <c r="E707" i="1"/>
  <c r="D707" i="1"/>
  <c r="C707" i="1"/>
  <c r="I706" i="1"/>
  <c r="H706" i="1"/>
  <c r="G706" i="1"/>
  <c r="F706" i="1"/>
  <c r="E706" i="1"/>
  <c r="D706" i="1"/>
  <c r="C706" i="1"/>
  <c r="I705" i="1"/>
  <c r="H705" i="1"/>
  <c r="G705" i="1"/>
  <c r="F705" i="1"/>
  <c r="E705" i="1"/>
  <c r="D705" i="1"/>
  <c r="C705" i="1"/>
  <c r="I704" i="1"/>
  <c r="H704" i="1"/>
  <c r="G704" i="1"/>
  <c r="F704" i="1"/>
  <c r="E704" i="1"/>
  <c r="D704" i="1"/>
  <c r="C704" i="1"/>
  <c r="I703" i="1"/>
  <c r="H703" i="1"/>
  <c r="G703" i="1"/>
  <c r="F703" i="1"/>
  <c r="E703" i="1"/>
  <c r="D703" i="1"/>
  <c r="C703" i="1"/>
  <c r="I702" i="1"/>
  <c r="H702" i="1"/>
  <c r="G702" i="1"/>
  <c r="F702" i="1"/>
  <c r="E702" i="1"/>
  <c r="D702" i="1"/>
  <c r="C702" i="1"/>
  <c r="I701" i="1"/>
  <c r="H701" i="1"/>
  <c r="G701" i="1"/>
  <c r="F701" i="1"/>
  <c r="E701" i="1"/>
  <c r="D701" i="1"/>
  <c r="C701" i="1"/>
  <c r="I700" i="1"/>
  <c r="H700" i="1"/>
  <c r="G700" i="1"/>
  <c r="F700" i="1"/>
  <c r="E700" i="1"/>
  <c r="D700" i="1"/>
  <c r="C700" i="1"/>
  <c r="I699" i="1"/>
  <c r="H699" i="1"/>
  <c r="G699" i="1"/>
  <c r="F699" i="1"/>
  <c r="E699" i="1"/>
  <c r="D699" i="1"/>
  <c r="C699" i="1"/>
  <c r="I698" i="1"/>
  <c r="H698" i="1"/>
  <c r="G698" i="1"/>
  <c r="F698" i="1"/>
  <c r="E698" i="1"/>
  <c r="D698" i="1"/>
  <c r="C698" i="1"/>
  <c r="I697" i="1"/>
  <c r="H697" i="1"/>
  <c r="G697" i="1"/>
  <c r="F697" i="1"/>
  <c r="E697" i="1"/>
  <c r="D697" i="1"/>
  <c r="C697" i="1"/>
  <c r="I696" i="1"/>
  <c r="H696" i="1"/>
  <c r="G696" i="1"/>
  <c r="F696" i="1"/>
  <c r="E696" i="1"/>
  <c r="D696" i="1"/>
  <c r="C696" i="1"/>
  <c r="I695" i="1"/>
  <c r="H695" i="1"/>
  <c r="G695" i="1"/>
  <c r="F695" i="1"/>
  <c r="E695" i="1"/>
  <c r="D695" i="1"/>
  <c r="C695" i="1"/>
  <c r="I694" i="1"/>
  <c r="H694" i="1"/>
  <c r="G694" i="1"/>
  <c r="F694" i="1"/>
  <c r="E694" i="1"/>
  <c r="D694" i="1"/>
  <c r="C694" i="1"/>
  <c r="I693" i="1"/>
  <c r="H693" i="1"/>
  <c r="G693" i="1"/>
  <c r="F693" i="1"/>
  <c r="E693" i="1"/>
  <c r="D693" i="1"/>
  <c r="C693" i="1"/>
  <c r="I692" i="1"/>
  <c r="H692" i="1"/>
  <c r="G692" i="1"/>
  <c r="F692" i="1"/>
  <c r="E692" i="1"/>
  <c r="D692" i="1"/>
  <c r="C692" i="1"/>
  <c r="I691" i="1"/>
  <c r="H691" i="1"/>
  <c r="G691" i="1"/>
  <c r="F691" i="1"/>
  <c r="E691" i="1"/>
  <c r="D691" i="1"/>
  <c r="C691" i="1"/>
  <c r="I690" i="1"/>
  <c r="H690" i="1"/>
  <c r="G690" i="1"/>
  <c r="F690" i="1"/>
  <c r="E690" i="1"/>
  <c r="D690" i="1"/>
  <c r="C690" i="1"/>
  <c r="I689" i="1"/>
  <c r="H689" i="1"/>
  <c r="G689" i="1"/>
  <c r="F689" i="1"/>
  <c r="E689" i="1"/>
  <c r="D689" i="1"/>
  <c r="C689" i="1"/>
  <c r="I688" i="1"/>
  <c r="H688" i="1"/>
  <c r="G688" i="1"/>
  <c r="F688" i="1"/>
  <c r="E688" i="1"/>
  <c r="D688" i="1"/>
  <c r="C688" i="1"/>
  <c r="I687" i="1"/>
  <c r="H687" i="1"/>
  <c r="G687" i="1"/>
  <c r="F687" i="1"/>
  <c r="E687" i="1"/>
  <c r="D687" i="1"/>
  <c r="C687" i="1"/>
  <c r="I686" i="1"/>
  <c r="H686" i="1"/>
  <c r="G686" i="1"/>
  <c r="F686" i="1"/>
  <c r="E686" i="1"/>
  <c r="D686" i="1"/>
  <c r="C686" i="1"/>
  <c r="I685" i="1"/>
  <c r="H685" i="1"/>
  <c r="G685" i="1"/>
  <c r="F685" i="1"/>
  <c r="E685" i="1"/>
  <c r="D685" i="1"/>
  <c r="C685" i="1"/>
  <c r="I684" i="1"/>
  <c r="H684" i="1"/>
  <c r="G684" i="1"/>
  <c r="F684" i="1"/>
  <c r="E684" i="1"/>
  <c r="D684" i="1"/>
  <c r="C684" i="1"/>
  <c r="I683" i="1"/>
  <c r="H683" i="1"/>
  <c r="G683" i="1"/>
  <c r="F683" i="1"/>
  <c r="E683" i="1"/>
  <c r="D683" i="1"/>
  <c r="C683" i="1"/>
  <c r="I682" i="1"/>
  <c r="H682" i="1"/>
  <c r="G682" i="1"/>
  <c r="F682" i="1"/>
  <c r="E682" i="1"/>
  <c r="D682" i="1"/>
  <c r="C682" i="1"/>
  <c r="I681" i="1"/>
  <c r="H681" i="1"/>
  <c r="G681" i="1"/>
  <c r="F681" i="1"/>
  <c r="E681" i="1"/>
  <c r="D681" i="1"/>
  <c r="C681" i="1"/>
  <c r="I680" i="1"/>
  <c r="H680" i="1"/>
  <c r="G680" i="1"/>
  <c r="F680" i="1"/>
  <c r="E680" i="1"/>
  <c r="D680" i="1"/>
  <c r="C680" i="1"/>
  <c r="I679" i="1"/>
  <c r="H679" i="1"/>
  <c r="G679" i="1"/>
  <c r="F679" i="1"/>
  <c r="E679" i="1"/>
  <c r="D679" i="1"/>
  <c r="C679" i="1"/>
  <c r="I678" i="1"/>
  <c r="H678" i="1"/>
  <c r="G678" i="1"/>
  <c r="F678" i="1"/>
  <c r="E678" i="1"/>
  <c r="D678" i="1"/>
  <c r="C678" i="1"/>
  <c r="I677" i="1"/>
  <c r="H677" i="1"/>
  <c r="G677" i="1"/>
  <c r="F677" i="1"/>
  <c r="E677" i="1"/>
  <c r="D677" i="1"/>
  <c r="C677" i="1"/>
  <c r="I676" i="1"/>
  <c r="H676" i="1"/>
  <c r="G676" i="1"/>
  <c r="F676" i="1"/>
  <c r="E676" i="1"/>
  <c r="D676" i="1"/>
  <c r="C676" i="1"/>
  <c r="I675" i="1"/>
  <c r="H675" i="1"/>
  <c r="G675" i="1"/>
  <c r="F675" i="1"/>
  <c r="E675" i="1"/>
  <c r="D675" i="1"/>
  <c r="C675" i="1"/>
  <c r="I674" i="1"/>
  <c r="H674" i="1"/>
  <c r="G674" i="1"/>
  <c r="F674" i="1"/>
  <c r="E674" i="1"/>
  <c r="D674" i="1"/>
  <c r="C674" i="1"/>
  <c r="I673" i="1"/>
  <c r="H673" i="1"/>
  <c r="G673" i="1"/>
  <c r="F673" i="1"/>
  <c r="E673" i="1"/>
  <c r="D673" i="1"/>
  <c r="C673" i="1"/>
  <c r="I672" i="1"/>
  <c r="H672" i="1"/>
  <c r="G672" i="1"/>
  <c r="F672" i="1"/>
  <c r="E672" i="1"/>
  <c r="D672" i="1"/>
  <c r="C672" i="1"/>
  <c r="I671" i="1"/>
  <c r="H671" i="1"/>
  <c r="G671" i="1"/>
  <c r="F671" i="1"/>
  <c r="E671" i="1"/>
  <c r="D671" i="1"/>
  <c r="C671" i="1"/>
  <c r="I670" i="1"/>
  <c r="H670" i="1"/>
  <c r="G670" i="1"/>
  <c r="F670" i="1"/>
  <c r="E670" i="1"/>
  <c r="D670" i="1"/>
  <c r="C670" i="1"/>
  <c r="I669" i="1"/>
  <c r="H669" i="1"/>
  <c r="G669" i="1"/>
  <c r="F669" i="1"/>
  <c r="E669" i="1"/>
  <c r="D669" i="1"/>
  <c r="C669" i="1"/>
  <c r="I668" i="1"/>
  <c r="H668" i="1"/>
  <c r="G668" i="1"/>
  <c r="F668" i="1"/>
  <c r="E668" i="1"/>
  <c r="D668" i="1"/>
  <c r="C668" i="1"/>
  <c r="I667" i="1"/>
  <c r="H667" i="1"/>
  <c r="G667" i="1"/>
  <c r="F667" i="1"/>
  <c r="E667" i="1"/>
  <c r="D667" i="1"/>
  <c r="C667" i="1"/>
  <c r="I666" i="1"/>
  <c r="H666" i="1"/>
  <c r="G666" i="1"/>
  <c r="F666" i="1"/>
  <c r="E666" i="1"/>
  <c r="D666" i="1"/>
  <c r="C666" i="1"/>
  <c r="I665" i="1"/>
  <c r="H665" i="1"/>
  <c r="G665" i="1"/>
  <c r="F665" i="1"/>
  <c r="E665" i="1"/>
  <c r="D665" i="1"/>
  <c r="C665" i="1"/>
  <c r="I664" i="1"/>
  <c r="H664" i="1"/>
  <c r="G664" i="1"/>
  <c r="F664" i="1"/>
  <c r="E664" i="1"/>
  <c r="D664" i="1"/>
  <c r="C664" i="1"/>
  <c r="I663" i="1"/>
  <c r="H663" i="1"/>
  <c r="G663" i="1"/>
  <c r="F663" i="1"/>
  <c r="E663" i="1"/>
  <c r="D663" i="1"/>
  <c r="C663" i="1"/>
  <c r="I662" i="1"/>
  <c r="H662" i="1"/>
  <c r="G662" i="1"/>
  <c r="F662" i="1"/>
  <c r="E662" i="1"/>
  <c r="D662" i="1"/>
  <c r="C662" i="1"/>
  <c r="I661" i="1"/>
  <c r="H661" i="1"/>
  <c r="G661" i="1"/>
  <c r="F661" i="1"/>
  <c r="E661" i="1"/>
  <c r="D661" i="1"/>
  <c r="C661" i="1"/>
  <c r="I660" i="1"/>
  <c r="H660" i="1"/>
  <c r="G660" i="1"/>
  <c r="F660" i="1"/>
  <c r="E660" i="1"/>
  <c r="D660" i="1"/>
  <c r="C660" i="1"/>
  <c r="I659" i="1"/>
  <c r="H659" i="1"/>
  <c r="G659" i="1"/>
  <c r="F659" i="1"/>
  <c r="E659" i="1"/>
  <c r="D659" i="1"/>
  <c r="C659" i="1"/>
  <c r="I658" i="1"/>
  <c r="H658" i="1"/>
  <c r="G658" i="1"/>
  <c r="F658" i="1"/>
  <c r="E658" i="1"/>
  <c r="D658" i="1"/>
  <c r="C658" i="1"/>
  <c r="I657" i="1"/>
  <c r="H657" i="1"/>
  <c r="G657" i="1"/>
  <c r="F657" i="1"/>
  <c r="E657" i="1"/>
  <c r="D657" i="1"/>
  <c r="C657" i="1"/>
  <c r="I656" i="1"/>
  <c r="H656" i="1"/>
  <c r="G656" i="1"/>
  <c r="F656" i="1"/>
  <c r="E656" i="1"/>
  <c r="D656" i="1"/>
  <c r="C656" i="1"/>
  <c r="I655" i="1"/>
  <c r="H655" i="1"/>
  <c r="G655" i="1"/>
  <c r="F655" i="1"/>
  <c r="E655" i="1"/>
  <c r="D655" i="1"/>
  <c r="C655" i="1"/>
  <c r="I654" i="1"/>
  <c r="H654" i="1"/>
  <c r="G654" i="1"/>
  <c r="F654" i="1"/>
  <c r="E654" i="1"/>
  <c r="D654" i="1"/>
  <c r="C654" i="1"/>
  <c r="I653" i="1"/>
  <c r="H653" i="1"/>
  <c r="G653" i="1"/>
  <c r="F653" i="1"/>
  <c r="E653" i="1"/>
  <c r="D653" i="1"/>
  <c r="C653" i="1"/>
  <c r="I652" i="1"/>
  <c r="H652" i="1"/>
  <c r="G652" i="1"/>
  <c r="F652" i="1"/>
  <c r="E652" i="1"/>
  <c r="D652" i="1"/>
  <c r="C652" i="1"/>
  <c r="I651" i="1"/>
  <c r="H651" i="1"/>
  <c r="G651" i="1"/>
  <c r="F651" i="1"/>
  <c r="E651" i="1"/>
  <c r="D651" i="1"/>
  <c r="C651" i="1"/>
  <c r="I650" i="1"/>
  <c r="H650" i="1"/>
  <c r="G650" i="1"/>
  <c r="F650" i="1"/>
  <c r="E650" i="1"/>
  <c r="D650" i="1"/>
  <c r="C650" i="1"/>
  <c r="I649" i="1"/>
  <c r="H649" i="1"/>
  <c r="G649" i="1"/>
  <c r="F649" i="1"/>
  <c r="E649" i="1"/>
  <c r="D649" i="1"/>
  <c r="C649" i="1"/>
  <c r="I648" i="1"/>
  <c r="H648" i="1"/>
  <c r="G648" i="1"/>
  <c r="F648" i="1"/>
  <c r="E648" i="1"/>
  <c r="D648" i="1"/>
  <c r="C648" i="1"/>
  <c r="I647" i="1"/>
  <c r="H647" i="1"/>
  <c r="G647" i="1"/>
  <c r="F647" i="1"/>
  <c r="E647" i="1"/>
  <c r="D647" i="1"/>
  <c r="C647" i="1"/>
  <c r="I646" i="1"/>
  <c r="H646" i="1"/>
  <c r="G646" i="1"/>
  <c r="F646" i="1"/>
  <c r="E646" i="1"/>
  <c r="D646" i="1"/>
  <c r="C646" i="1"/>
  <c r="I645" i="1"/>
  <c r="H645" i="1"/>
  <c r="G645" i="1"/>
  <c r="F645" i="1"/>
  <c r="E645" i="1"/>
  <c r="D645" i="1"/>
  <c r="C645" i="1"/>
  <c r="I644" i="1"/>
  <c r="H644" i="1"/>
  <c r="G644" i="1"/>
  <c r="F644" i="1"/>
  <c r="E644" i="1"/>
  <c r="D644" i="1"/>
  <c r="C644" i="1"/>
  <c r="I643" i="1"/>
  <c r="H643" i="1"/>
  <c r="G643" i="1"/>
  <c r="F643" i="1"/>
  <c r="E643" i="1"/>
  <c r="D643" i="1"/>
  <c r="C643" i="1"/>
  <c r="I642" i="1"/>
  <c r="H642" i="1"/>
  <c r="G642" i="1"/>
  <c r="F642" i="1"/>
  <c r="E642" i="1"/>
  <c r="D642" i="1"/>
  <c r="C642" i="1"/>
  <c r="I641" i="1"/>
  <c r="H641" i="1"/>
  <c r="G641" i="1"/>
  <c r="F641" i="1"/>
  <c r="E641" i="1"/>
  <c r="D641" i="1"/>
  <c r="C641" i="1"/>
  <c r="I640" i="1"/>
  <c r="H640" i="1"/>
  <c r="G640" i="1"/>
  <c r="F640" i="1"/>
  <c r="E640" i="1"/>
  <c r="D640" i="1"/>
  <c r="C640" i="1"/>
  <c r="I639" i="1"/>
  <c r="H639" i="1"/>
  <c r="G639" i="1"/>
  <c r="F639" i="1"/>
  <c r="E639" i="1"/>
  <c r="D639" i="1"/>
  <c r="C639" i="1"/>
  <c r="I638" i="1"/>
  <c r="H638" i="1"/>
  <c r="G638" i="1"/>
  <c r="F638" i="1"/>
  <c r="E638" i="1"/>
  <c r="D638" i="1"/>
  <c r="C638" i="1"/>
  <c r="I637" i="1"/>
  <c r="H637" i="1"/>
  <c r="G637" i="1"/>
  <c r="F637" i="1"/>
  <c r="E637" i="1"/>
  <c r="D637" i="1"/>
  <c r="C637" i="1"/>
  <c r="I636" i="1"/>
  <c r="H636" i="1"/>
  <c r="G636" i="1"/>
  <c r="F636" i="1"/>
  <c r="E636" i="1"/>
  <c r="D636" i="1"/>
  <c r="C636" i="1"/>
  <c r="I635" i="1"/>
  <c r="H635" i="1"/>
  <c r="G635" i="1"/>
  <c r="F635" i="1"/>
  <c r="E635" i="1"/>
  <c r="D635" i="1"/>
  <c r="C635" i="1"/>
  <c r="I634" i="1"/>
  <c r="H634" i="1"/>
  <c r="G634" i="1"/>
  <c r="F634" i="1"/>
  <c r="E634" i="1"/>
  <c r="D634" i="1"/>
  <c r="C634" i="1"/>
  <c r="I633" i="1"/>
  <c r="H633" i="1"/>
  <c r="G633" i="1"/>
  <c r="F633" i="1"/>
  <c r="E633" i="1"/>
  <c r="D633" i="1"/>
  <c r="C633" i="1"/>
  <c r="I632" i="1"/>
  <c r="H632" i="1"/>
  <c r="G632" i="1"/>
  <c r="F632" i="1"/>
  <c r="E632" i="1"/>
  <c r="D632" i="1"/>
  <c r="C632" i="1"/>
  <c r="I631" i="1"/>
  <c r="H631" i="1"/>
  <c r="G631" i="1"/>
  <c r="F631" i="1"/>
  <c r="E631" i="1"/>
  <c r="D631" i="1"/>
  <c r="C631" i="1"/>
  <c r="I630" i="1"/>
  <c r="H630" i="1"/>
  <c r="G630" i="1"/>
  <c r="F630" i="1"/>
  <c r="E630" i="1"/>
  <c r="D630" i="1"/>
  <c r="C630" i="1"/>
  <c r="I629" i="1"/>
  <c r="H629" i="1"/>
  <c r="G629" i="1"/>
  <c r="F629" i="1"/>
  <c r="E629" i="1"/>
  <c r="D629" i="1"/>
  <c r="C629" i="1"/>
  <c r="I628" i="1"/>
  <c r="H628" i="1"/>
  <c r="G628" i="1"/>
  <c r="F628" i="1"/>
  <c r="E628" i="1"/>
  <c r="D628" i="1"/>
  <c r="C628" i="1"/>
  <c r="I627" i="1"/>
  <c r="H627" i="1"/>
  <c r="G627" i="1"/>
  <c r="F627" i="1"/>
  <c r="E627" i="1"/>
  <c r="D627" i="1"/>
  <c r="C627" i="1"/>
  <c r="I626" i="1"/>
  <c r="H626" i="1"/>
  <c r="G626" i="1"/>
  <c r="F626" i="1"/>
  <c r="E626" i="1"/>
  <c r="D626" i="1"/>
  <c r="C626" i="1"/>
  <c r="I625" i="1"/>
  <c r="H625" i="1"/>
  <c r="G625" i="1"/>
  <c r="F625" i="1"/>
  <c r="E625" i="1"/>
  <c r="D625" i="1"/>
  <c r="C625" i="1"/>
  <c r="I624" i="1"/>
  <c r="H624" i="1"/>
  <c r="G624" i="1"/>
  <c r="F624" i="1"/>
  <c r="E624" i="1"/>
  <c r="D624" i="1"/>
  <c r="C624" i="1"/>
  <c r="I623" i="1"/>
  <c r="H623" i="1"/>
  <c r="G623" i="1"/>
  <c r="F623" i="1"/>
  <c r="E623" i="1"/>
  <c r="D623" i="1"/>
  <c r="C623" i="1"/>
  <c r="I622" i="1"/>
  <c r="H622" i="1"/>
  <c r="G622" i="1"/>
  <c r="F622" i="1"/>
  <c r="E622" i="1"/>
  <c r="D622" i="1"/>
  <c r="C622" i="1"/>
  <c r="I621" i="1"/>
  <c r="H621" i="1"/>
  <c r="G621" i="1"/>
  <c r="F621" i="1"/>
  <c r="E621" i="1"/>
  <c r="D621" i="1"/>
  <c r="C621" i="1"/>
  <c r="I620" i="1"/>
  <c r="H620" i="1"/>
  <c r="G620" i="1"/>
  <c r="F620" i="1"/>
  <c r="E620" i="1"/>
  <c r="D620" i="1"/>
  <c r="C620" i="1"/>
  <c r="I619" i="1"/>
  <c r="H619" i="1"/>
  <c r="G619" i="1"/>
  <c r="F619" i="1"/>
  <c r="E619" i="1"/>
  <c r="D619" i="1"/>
  <c r="C619" i="1"/>
  <c r="I618" i="1"/>
  <c r="H618" i="1"/>
  <c r="G618" i="1"/>
  <c r="F618" i="1"/>
  <c r="E618" i="1"/>
  <c r="D618" i="1"/>
  <c r="C618" i="1"/>
  <c r="I617" i="1"/>
  <c r="H617" i="1"/>
  <c r="G617" i="1"/>
  <c r="F617" i="1"/>
  <c r="E617" i="1"/>
  <c r="D617" i="1"/>
  <c r="C617" i="1"/>
  <c r="I616" i="1"/>
  <c r="H616" i="1"/>
  <c r="G616" i="1"/>
  <c r="F616" i="1"/>
  <c r="E616" i="1"/>
  <c r="D616" i="1"/>
  <c r="C616" i="1"/>
  <c r="I615" i="1"/>
  <c r="H615" i="1"/>
  <c r="G615" i="1"/>
  <c r="F615" i="1"/>
  <c r="E615" i="1"/>
  <c r="D615" i="1"/>
  <c r="C615" i="1"/>
  <c r="I614" i="1"/>
  <c r="H614" i="1"/>
  <c r="G614" i="1"/>
  <c r="F614" i="1"/>
  <c r="E614" i="1"/>
  <c r="D614" i="1"/>
  <c r="C614" i="1"/>
  <c r="I613" i="1"/>
  <c r="H613" i="1"/>
  <c r="G613" i="1"/>
  <c r="F613" i="1"/>
  <c r="E613" i="1"/>
  <c r="D613" i="1"/>
  <c r="C613" i="1"/>
  <c r="I612" i="1"/>
  <c r="H612" i="1"/>
  <c r="G612" i="1"/>
  <c r="F612" i="1"/>
  <c r="E612" i="1"/>
  <c r="D612" i="1"/>
  <c r="C612" i="1"/>
  <c r="I611" i="1"/>
  <c r="H611" i="1"/>
  <c r="G611" i="1"/>
  <c r="F611" i="1"/>
  <c r="E611" i="1"/>
  <c r="D611" i="1"/>
  <c r="C611" i="1"/>
  <c r="I610" i="1"/>
  <c r="H610" i="1"/>
  <c r="G610" i="1"/>
  <c r="F610" i="1"/>
  <c r="E610" i="1"/>
  <c r="D610" i="1"/>
  <c r="C610" i="1"/>
  <c r="I609" i="1"/>
  <c r="H609" i="1"/>
  <c r="G609" i="1"/>
  <c r="F609" i="1"/>
  <c r="E609" i="1"/>
  <c r="D609" i="1"/>
  <c r="C609" i="1"/>
  <c r="I608" i="1"/>
  <c r="H608" i="1"/>
  <c r="G608" i="1"/>
  <c r="F608" i="1"/>
  <c r="E608" i="1"/>
  <c r="D608" i="1"/>
  <c r="C608" i="1"/>
  <c r="I607" i="1"/>
  <c r="H607" i="1"/>
  <c r="G607" i="1"/>
  <c r="F607" i="1"/>
  <c r="E607" i="1"/>
  <c r="D607" i="1"/>
  <c r="C607" i="1"/>
  <c r="I606" i="1"/>
  <c r="H606" i="1"/>
  <c r="G606" i="1"/>
  <c r="F606" i="1"/>
  <c r="E606" i="1"/>
  <c r="D606" i="1"/>
  <c r="C606" i="1"/>
  <c r="I605" i="1"/>
  <c r="H605" i="1"/>
  <c r="G605" i="1"/>
  <c r="F605" i="1"/>
  <c r="E605" i="1"/>
  <c r="D605" i="1"/>
  <c r="C605" i="1"/>
  <c r="I604" i="1"/>
  <c r="H604" i="1"/>
  <c r="G604" i="1"/>
  <c r="F604" i="1"/>
  <c r="E604" i="1"/>
  <c r="D604" i="1"/>
  <c r="C604" i="1"/>
  <c r="I603" i="1"/>
  <c r="H603" i="1"/>
  <c r="G603" i="1"/>
  <c r="F603" i="1"/>
  <c r="E603" i="1"/>
  <c r="D603" i="1"/>
  <c r="C603" i="1"/>
  <c r="I602" i="1"/>
  <c r="H602" i="1"/>
  <c r="G602" i="1"/>
  <c r="F602" i="1"/>
  <c r="E602" i="1"/>
  <c r="D602" i="1"/>
  <c r="C602" i="1"/>
  <c r="I601" i="1"/>
  <c r="H601" i="1"/>
  <c r="G601" i="1"/>
  <c r="F601" i="1"/>
  <c r="E601" i="1"/>
  <c r="D601" i="1"/>
  <c r="C601" i="1"/>
  <c r="I600" i="1"/>
  <c r="H600" i="1"/>
  <c r="G600" i="1"/>
  <c r="F600" i="1"/>
  <c r="E600" i="1"/>
  <c r="D600" i="1"/>
  <c r="C600" i="1"/>
  <c r="I599" i="1"/>
  <c r="H599" i="1"/>
  <c r="G599" i="1"/>
  <c r="F599" i="1"/>
  <c r="E599" i="1"/>
  <c r="D599" i="1"/>
  <c r="C599" i="1"/>
  <c r="I598" i="1"/>
  <c r="H598" i="1"/>
  <c r="G598" i="1"/>
  <c r="F598" i="1"/>
  <c r="E598" i="1"/>
  <c r="D598" i="1"/>
  <c r="C598" i="1"/>
  <c r="I597" i="1"/>
  <c r="H597" i="1"/>
  <c r="G597" i="1"/>
  <c r="F597" i="1"/>
  <c r="E597" i="1"/>
  <c r="D597" i="1"/>
  <c r="C597" i="1"/>
  <c r="I596" i="1"/>
  <c r="H596" i="1"/>
  <c r="G596" i="1"/>
  <c r="F596" i="1"/>
  <c r="E596" i="1"/>
  <c r="D596" i="1"/>
  <c r="C596" i="1"/>
  <c r="I595" i="1"/>
  <c r="H595" i="1"/>
  <c r="G595" i="1"/>
  <c r="F595" i="1"/>
  <c r="E595" i="1"/>
  <c r="D595" i="1"/>
  <c r="C595" i="1"/>
  <c r="I594" i="1"/>
  <c r="H594" i="1"/>
  <c r="G594" i="1"/>
  <c r="F594" i="1"/>
  <c r="E594" i="1"/>
  <c r="D594" i="1"/>
  <c r="C594" i="1"/>
  <c r="I593" i="1"/>
  <c r="H593" i="1"/>
  <c r="G593" i="1"/>
  <c r="F593" i="1"/>
  <c r="E593" i="1"/>
  <c r="D593" i="1"/>
  <c r="C593" i="1"/>
  <c r="I592" i="1"/>
  <c r="H592" i="1"/>
  <c r="G592" i="1"/>
  <c r="F592" i="1"/>
  <c r="E592" i="1"/>
  <c r="D592" i="1"/>
  <c r="C592" i="1"/>
  <c r="I591" i="1"/>
  <c r="H591" i="1"/>
  <c r="G591" i="1"/>
  <c r="F591" i="1"/>
  <c r="E591" i="1"/>
  <c r="D591" i="1"/>
  <c r="C591" i="1"/>
  <c r="I590" i="1"/>
  <c r="H590" i="1"/>
  <c r="G590" i="1"/>
  <c r="F590" i="1"/>
  <c r="E590" i="1"/>
  <c r="D590" i="1"/>
  <c r="C590" i="1"/>
  <c r="I589" i="1"/>
  <c r="H589" i="1"/>
  <c r="G589" i="1"/>
  <c r="F589" i="1"/>
  <c r="E589" i="1"/>
  <c r="D589" i="1"/>
  <c r="C589" i="1"/>
  <c r="I588" i="1"/>
  <c r="H588" i="1"/>
  <c r="G588" i="1"/>
  <c r="F588" i="1"/>
  <c r="E588" i="1"/>
  <c r="D588" i="1"/>
  <c r="C588" i="1"/>
  <c r="I587" i="1"/>
  <c r="H587" i="1"/>
  <c r="G587" i="1"/>
  <c r="F587" i="1"/>
  <c r="E587" i="1"/>
  <c r="D587" i="1"/>
  <c r="C587" i="1"/>
  <c r="I586" i="1"/>
  <c r="H586" i="1"/>
  <c r="G586" i="1"/>
  <c r="F586" i="1"/>
  <c r="E586" i="1"/>
  <c r="D586" i="1"/>
  <c r="C586" i="1"/>
  <c r="I585" i="1"/>
  <c r="H585" i="1"/>
  <c r="G585" i="1"/>
  <c r="F585" i="1"/>
  <c r="E585" i="1"/>
  <c r="D585" i="1"/>
  <c r="C585" i="1"/>
  <c r="I584" i="1"/>
  <c r="H584" i="1"/>
  <c r="G584" i="1"/>
  <c r="F584" i="1"/>
  <c r="E584" i="1"/>
  <c r="D584" i="1"/>
  <c r="C584" i="1"/>
  <c r="I583" i="1"/>
  <c r="H583" i="1"/>
  <c r="G583" i="1"/>
  <c r="F583" i="1"/>
  <c r="E583" i="1"/>
  <c r="D583" i="1"/>
  <c r="C583" i="1"/>
  <c r="I582" i="1"/>
  <c r="H582" i="1"/>
  <c r="G582" i="1"/>
  <c r="F582" i="1"/>
  <c r="E582" i="1"/>
  <c r="D582" i="1"/>
  <c r="C582" i="1"/>
  <c r="I581" i="1"/>
  <c r="H581" i="1"/>
  <c r="G581" i="1"/>
  <c r="F581" i="1"/>
  <c r="E581" i="1"/>
  <c r="D581" i="1"/>
  <c r="C581" i="1"/>
  <c r="I580" i="1"/>
  <c r="H580" i="1"/>
  <c r="G580" i="1"/>
  <c r="F580" i="1"/>
  <c r="E580" i="1"/>
  <c r="D580" i="1"/>
  <c r="C580" i="1"/>
  <c r="I579" i="1"/>
  <c r="H579" i="1"/>
  <c r="G579" i="1"/>
  <c r="F579" i="1"/>
  <c r="E579" i="1"/>
  <c r="D579" i="1"/>
  <c r="C579" i="1"/>
  <c r="I578" i="1"/>
  <c r="H578" i="1"/>
  <c r="G578" i="1"/>
  <c r="F578" i="1"/>
  <c r="E578" i="1"/>
  <c r="D578" i="1"/>
  <c r="C578" i="1"/>
  <c r="I577" i="1"/>
  <c r="H577" i="1"/>
  <c r="G577" i="1"/>
  <c r="F577" i="1"/>
  <c r="E577" i="1"/>
  <c r="D577" i="1"/>
  <c r="C577" i="1"/>
  <c r="I576" i="1"/>
  <c r="H576" i="1"/>
  <c r="G576" i="1"/>
  <c r="F576" i="1"/>
  <c r="E576" i="1"/>
  <c r="D576" i="1"/>
  <c r="C576" i="1"/>
  <c r="I575" i="1"/>
  <c r="H575" i="1"/>
  <c r="G575" i="1"/>
  <c r="F575" i="1"/>
  <c r="E575" i="1"/>
  <c r="D575" i="1"/>
  <c r="C575" i="1"/>
  <c r="I574" i="1"/>
  <c r="H574" i="1"/>
  <c r="G574" i="1"/>
  <c r="F574" i="1"/>
  <c r="E574" i="1"/>
  <c r="D574" i="1"/>
  <c r="C574" i="1"/>
  <c r="I573" i="1"/>
  <c r="H573" i="1"/>
  <c r="G573" i="1"/>
  <c r="F573" i="1"/>
  <c r="E573" i="1"/>
  <c r="D573" i="1"/>
  <c r="C573" i="1"/>
  <c r="I572" i="1"/>
  <c r="H572" i="1"/>
  <c r="G572" i="1"/>
  <c r="F572" i="1"/>
  <c r="E572" i="1"/>
  <c r="D572" i="1"/>
  <c r="C572" i="1"/>
  <c r="I571" i="1"/>
  <c r="H571" i="1"/>
  <c r="G571" i="1"/>
  <c r="F571" i="1"/>
  <c r="E571" i="1"/>
  <c r="D571" i="1"/>
  <c r="C571" i="1"/>
  <c r="I570" i="1"/>
  <c r="H570" i="1"/>
  <c r="G570" i="1"/>
  <c r="F570" i="1"/>
  <c r="E570" i="1"/>
  <c r="D570" i="1"/>
  <c r="C570" i="1"/>
  <c r="I569" i="1"/>
  <c r="H569" i="1"/>
  <c r="G569" i="1"/>
  <c r="F569" i="1"/>
  <c r="E569" i="1"/>
  <c r="D569" i="1"/>
  <c r="C569" i="1"/>
  <c r="I568" i="1"/>
  <c r="H568" i="1"/>
  <c r="G568" i="1"/>
  <c r="F568" i="1"/>
  <c r="E568" i="1"/>
  <c r="D568" i="1"/>
  <c r="C568" i="1"/>
  <c r="I567" i="1"/>
  <c r="H567" i="1"/>
  <c r="G567" i="1"/>
  <c r="F567" i="1"/>
  <c r="E567" i="1"/>
  <c r="D567" i="1"/>
  <c r="C567" i="1"/>
  <c r="I566" i="1"/>
  <c r="H566" i="1"/>
  <c r="G566" i="1"/>
  <c r="F566" i="1"/>
  <c r="E566" i="1"/>
  <c r="D566" i="1"/>
  <c r="C566" i="1"/>
  <c r="I565" i="1"/>
  <c r="H565" i="1"/>
  <c r="G565" i="1"/>
  <c r="F565" i="1"/>
  <c r="E565" i="1"/>
  <c r="D565" i="1"/>
  <c r="C565" i="1"/>
  <c r="I564" i="1"/>
  <c r="H564" i="1"/>
  <c r="G564" i="1"/>
  <c r="F564" i="1"/>
  <c r="E564" i="1"/>
  <c r="D564" i="1"/>
  <c r="C564" i="1"/>
  <c r="I563" i="1"/>
  <c r="H563" i="1"/>
  <c r="G563" i="1"/>
  <c r="F563" i="1"/>
  <c r="E563" i="1"/>
  <c r="D563" i="1"/>
  <c r="C563" i="1"/>
  <c r="I562" i="1"/>
  <c r="H562" i="1"/>
  <c r="G562" i="1"/>
  <c r="F562" i="1"/>
  <c r="E562" i="1"/>
  <c r="D562" i="1"/>
  <c r="C562" i="1"/>
  <c r="I561" i="1"/>
  <c r="H561" i="1"/>
  <c r="G561" i="1"/>
  <c r="F561" i="1"/>
  <c r="E561" i="1"/>
  <c r="D561" i="1"/>
  <c r="C561" i="1"/>
  <c r="I560" i="1"/>
  <c r="H560" i="1"/>
  <c r="G560" i="1"/>
  <c r="F560" i="1"/>
  <c r="E560" i="1"/>
  <c r="D560" i="1"/>
  <c r="C560" i="1"/>
  <c r="I559" i="1"/>
  <c r="H559" i="1"/>
  <c r="G559" i="1"/>
  <c r="F559" i="1"/>
  <c r="E559" i="1"/>
  <c r="D559" i="1"/>
  <c r="C559" i="1"/>
  <c r="I558" i="1"/>
  <c r="H558" i="1"/>
  <c r="G558" i="1"/>
  <c r="F558" i="1"/>
  <c r="E558" i="1"/>
  <c r="D558" i="1"/>
  <c r="C558" i="1"/>
  <c r="I557" i="1"/>
  <c r="H557" i="1"/>
  <c r="G557" i="1"/>
  <c r="F557" i="1"/>
  <c r="E557" i="1"/>
  <c r="D557" i="1"/>
  <c r="C557" i="1"/>
  <c r="I556" i="1"/>
  <c r="H556" i="1"/>
  <c r="G556" i="1"/>
  <c r="F556" i="1"/>
  <c r="E556" i="1"/>
  <c r="D556" i="1"/>
  <c r="C556" i="1"/>
  <c r="I555" i="1"/>
  <c r="H555" i="1"/>
  <c r="G555" i="1"/>
  <c r="F555" i="1"/>
  <c r="E555" i="1"/>
  <c r="D555" i="1"/>
  <c r="C555" i="1"/>
  <c r="I554" i="1"/>
  <c r="H554" i="1"/>
  <c r="G554" i="1"/>
  <c r="F554" i="1"/>
  <c r="E554" i="1"/>
  <c r="D554" i="1"/>
  <c r="C554" i="1"/>
  <c r="I553" i="1"/>
  <c r="H553" i="1"/>
  <c r="G553" i="1"/>
  <c r="F553" i="1"/>
  <c r="E553" i="1"/>
  <c r="D553" i="1"/>
  <c r="C553" i="1"/>
  <c r="I552" i="1"/>
  <c r="H552" i="1"/>
  <c r="G552" i="1"/>
  <c r="F552" i="1"/>
  <c r="E552" i="1"/>
  <c r="D552" i="1"/>
  <c r="C552" i="1"/>
  <c r="I551" i="1"/>
  <c r="H551" i="1"/>
  <c r="G551" i="1"/>
  <c r="F551" i="1"/>
  <c r="E551" i="1"/>
  <c r="D551" i="1"/>
  <c r="C551" i="1"/>
  <c r="I550" i="1"/>
  <c r="H550" i="1"/>
  <c r="G550" i="1"/>
  <c r="F550" i="1"/>
  <c r="E550" i="1"/>
  <c r="D550" i="1"/>
  <c r="C550" i="1"/>
  <c r="I549" i="1"/>
  <c r="H549" i="1"/>
  <c r="G549" i="1"/>
  <c r="F549" i="1"/>
  <c r="E549" i="1"/>
  <c r="D549" i="1"/>
  <c r="C549" i="1"/>
  <c r="I548" i="1"/>
  <c r="H548" i="1"/>
  <c r="G548" i="1"/>
  <c r="F548" i="1"/>
  <c r="E548" i="1"/>
  <c r="D548" i="1"/>
  <c r="C548" i="1"/>
  <c r="I547" i="1"/>
  <c r="H547" i="1"/>
  <c r="G547" i="1"/>
  <c r="F547" i="1"/>
  <c r="E547" i="1"/>
  <c r="D547" i="1"/>
  <c r="C547" i="1"/>
  <c r="I546" i="1"/>
  <c r="H546" i="1"/>
  <c r="G546" i="1"/>
  <c r="F546" i="1"/>
  <c r="E546" i="1"/>
  <c r="D546" i="1"/>
  <c r="C546" i="1"/>
  <c r="I545" i="1"/>
  <c r="H545" i="1"/>
  <c r="G545" i="1"/>
  <c r="F545" i="1"/>
  <c r="E545" i="1"/>
  <c r="D545" i="1"/>
  <c r="C545" i="1"/>
  <c r="I544" i="1"/>
  <c r="H544" i="1"/>
  <c r="G544" i="1"/>
  <c r="F544" i="1"/>
  <c r="E544" i="1"/>
  <c r="D544" i="1"/>
  <c r="C544" i="1"/>
  <c r="I543" i="1"/>
  <c r="H543" i="1"/>
  <c r="G543" i="1"/>
  <c r="F543" i="1"/>
  <c r="E543" i="1"/>
  <c r="D543" i="1"/>
  <c r="C543" i="1"/>
  <c r="I542" i="1"/>
  <c r="H542" i="1"/>
  <c r="G542" i="1"/>
  <c r="F542" i="1"/>
  <c r="E542" i="1"/>
  <c r="D542" i="1"/>
  <c r="C542" i="1"/>
  <c r="I541" i="1"/>
  <c r="H541" i="1"/>
  <c r="G541" i="1"/>
  <c r="F541" i="1"/>
  <c r="E541" i="1"/>
  <c r="D541" i="1"/>
  <c r="C541" i="1"/>
  <c r="I540" i="1"/>
  <c r="H540" i="1"/>
  <c r="G540" i="1"/>
  <c r="F540" i="1"/>
  <c r="E540" i="1"/>
  <c r="D540" i="1"/>
  <c r="C540" i="1"/>
  <c r="I539" i="1"/>
  <c r="H539" i="1"/>
  <c r="G539" i="1"/>
  <c r="F539" i="1"/>
  <c r="E539" i="1"/>
  <c r="D539" i="1"/>
  <c r="C539" i="1"/>
  <c r="I538" i="1"/>
  <c r="H538" i="1"/>
  <c r="G538" i="1"/>
  <c r="F538" i="1"/>
  <c r="E538" i="1"/>
  <c r="D538" i="1"/>
  <c r="C538" i="1"/>
  <c r="I537" i="1"/>
  <c r="H537" i="1"/>
  <c r="G537" i="1"/>
  <c r="F537" i="1"/>
  <c r="E537" i="1"/>
  <c r="D537" i="1"/>
  <c r="C537" i="1"/>
  <c r="I536" i="1"/>
  <c r="H536" i="1"/>
  <c r="G536" i="1"/>
  <c r="F536" i="1"/>
  <c r="E536" i="1"/>
  <c r="D536" i="1"/>
  <c r="C536" i="1"/>
  <c r="I535" i="1"/>
  <c r="H535" i="1"/>
  <c r="G535" i="1"/>
  <c r="F535" i="1"/>
  <c r="E535" i="1"/>
  <c r="D535" i="1"/>
  <c r="C535" i="1"/>
  <c r="I534" i="1"/>
  <c r="H534" i="1"/>
  <c r="G534" i="1"/>
  <c r="F534" i="1"/>
  <c r="E534" i="1"/>
  <c r="D534" i="1"/>
  <c r="C534" i="1"/>
  <c r="I533" i="1"/>
  <c r="H533" i="1"/>
  <c r="G533" i="1"/>
  <c r="F533" i="1"/>
  <c r="E533" i="1"/>
  <c r="D533" i="1"/>
  <c r="C533" i="1"/>
  <c r="I532" i="1"/>
  <c r="H532" i="1"/>
  <c r="G532" i="1"/>
  <c r="F532" i="1"/>
  <c r="E532" i="1"/>
  <c r="D532" i="1"/>
  <c r="C532" i="1"/>
  <c r="I531" i="1"/>
  <c r="H531" i="1"/>
  <c r="G531" i="1"/>
  <c r="F531" i="1"/>
  <c r="E531" i="1"/>
  <c r="D531" i="1"/>
  <c r="C531" i="1"/>
  <c r="I530" i="1"/>
  <c r="H530" i="1"/>
  <c r="G530" i="1"/>
  <c r="F530" i="1"/>
  <c r="E530" i="1"/>
  <c r="D530" i="1"/>
  <c r="C530" i="1"/>
  <c r="I529" i="1"/>
  <c r="H529" i="1"/>
  <c r="G529" i="1"/>
  <c r="F529" i="1"/>
  <c r="E529" i="1"/>
  <c r="D529" i="1"/>
  <c r="C529" i="1"/>
  <c r="I528" i="1"/>
  <c r="H528" i="1"/>
  <c r="G528" i="1"/>
  <c r="F528" i="1"/>
  <c r="E528" i="1"/>
  <c r="D528" i="1"/>
  <c r="C528" i="1"/>
  <c r="I527" i="1"/>
  <c r="H527" i="1"/>
  <c r="G527" i="1"/>
  <c r="F527" i="1"/>
  <c r="E527" i="1"/>
  <c r="D527" i="1"/>
  <c r="C527" i="1"/>
  <c r="I526" i="1"/>
  <c r="H526" i="1"/>
  <c r="G526" i="1"/>
  <c r="F526" i="1"/>
  <c r="E526" i="1"/>
  <c r="D526" i="1"/>
  <c r="C526" i="1"/>
  <c r="I525" i="1"/>
  <c r="H525" i="1"/>
  <c r="G525" i="1"/>
  <c r="F525" i="1"/>
  <c r="E525" i="1"/>
  <c r="D525" i="1"/>
  <c r="C525" i="1"/>
  <c r="I524" i="1"/>
  <c r="H524" i="1"/>
  <c r="G524" i="1"/>
  <c r="F524" i="1"/>
  <c r="E524" i="1"/>
  <c r="D524" i="1"/>
  <c r="C524" i="1"/>
  <c r="I523" i="1"/>
  <c r="H523" i="1"/>
  <c r="G523" i="1"/>
  <c r="F523" i="1"/>
  <c r="E523" i="1"/>
  <c r="D523" i="1"/>
  <c r="C523" i="1"/>
  <c r="I522" i="1"/>
  <c r="H522" i="1"/>
  <c r="G522" i="1"/>
  <c r="F522" i="1"/>
  <c r="E522" i="1"/>
  <c r="D522" i="1"/>
  <c r="C522" i="1"/>
  <c r="I521" i="1"/>
  <c r="H521" i="1"/>
  <c r="G521" i="1"/>
  <c r="F521" i="1"/>
  <c r="E521" i="1"/>
  <c r="D521" i="1"/>
  <c r="C521" i="1"/>
  <c r="I520" i="1"/>
  <c r="H520" i="1"/>
  <c r="G520" i="1"/>
  <c r="F520" i="1"/>
  <c r="E520" i="1"/>
  <c r="D520" i="1"/>
  <c r="C520" i="1"/>
  <c r="I519" i="1"/>
  <c r="H519" i="1"/>
  <c r="G519" i="1"/>
  <c r="F519" i="1"/>
  <c r="E519" i="1"/>
  <c r="D519" i="1"/>
  <c r="C519" i="1"/>
  <c r="I518" i="1"/>
  <c r="H518" i="1"/>
  <c r="G518" i="1"/>
  <c r="F518" i="1"/>
  <c r="E518" i="1"/>
  <c r="D518" i="1"/>
  <c r="C518" i="1"/>
  <c r="I517" i="1"/>
  <c r="H517" i="1"/>
  <c r="G517" i="1"/>
  <c r="F517" i="1"/>
  <c r="E517" i="1"/>
  <c r="D517" i="1"/>
  <c r="C517" i="1"/>
  <c r="I516" i="1"/>
  <c r="H516" i="1"/>
  <c r="G516" i="1"/>
  <c r="F516" i="1"/>
  <c r="E516" i="1"/>
  <c r="D516" i="1"/>
  <c r="C516" i="1"/>
  <c r="I515" i="1"/>
  <c r="H515" i="1"/>
  <c r="G515" i="1"/>
  <c r="F515" i="1"/>
  <c r="E515" i="1"/>
  <c r="D515" i="1"/>
  <c r="C515" i="1"/>
  <c r="I514" i="1"/>
  <c r="H514" i="1"/>
  <c r="G514" i="1"/>
  <c r="F514" i="1"/>
  <c r="E514" i="1"/>
  <c r="D514" i="1"/>
  <c r="C514" i="1"/>
  <c r="I513" i="1"/>
  <c r="H513" i="1"/>
  <c r="G513" i="1"/>
  <c r="F513" i="1"/>
  <c r="E513" i="1"/>
  <c r="D513" i="1"/>
  <c r="C513" i="1"/>
  <c r="I512" i="1"/>
  <c r="H512" i="1"/>
  <c r="G512" i="1"/>
  <c r="F512" i="1"/>
  <c r="E512" i="1"/>
  <c r="D512" i="1"/>
  <c r="C512" i="1"/>
  <c r="I511" i="1"/>
  <c r="H511" i="1"/>
  <c r="G511" i="1"/>
  <c r="F511" i="1"/>
  <c r="E511" i="1"/>
  <c r="D511" i="1"/>
  <c r="C511" i="1"/>
  <c r="I510" i="1"/>
  <c r="H510" i="1"/>
  <c r="G510" i="1"/>
  <c r="F510" i="1"/>
  <c r="E510" i="1"/>
  <c r="D510" i="1"/>
  <c r="C510" i="1"/>
  <c r="I509" i="1"/>
  <c r="H509" i="1"/>
  <c r="G509" i="1"/>
  <c r="F509" i="1"/>
  <c r="E509" i="1"/>
  <c r="D509" i="1"/>
  <c r="C509" i="1"/>
  <c r="I508" i="1"/>
  <c r="H508" i="1"/>
  <c r="G508" i="1"/>
  <c r="F508" i="1"/>
  <c r="E508" i="1"/>
  <c r="D508" i="1"/>
  <c r="C508" i="1"/>
  <c r="I507" i="1"/>
  <c r="H507" i="1"/>
  <c r="G507" i="1"/>
  <c r="F507" i="1"/>
  <c r="E507" i="1"/>
  <c r="D507" i="1"/>
  <c r="C507" i="1"/>
  <c r="I506" i="1"/>
  <c r="H506" i="1"/>
  <c r="G506" i="1"/>
  <c r="F506" i="1"/>
  <c r="E506" i="1"/>
  <c r="D506" i="1"/>
  <c r="C506" i="1"/>
  <c r="I505" i="1"/>
  <c r="H505" i="1"/>
  <c r="G505" i="1"/>
  <c r="F505" i="1"/>
  <c r="E505" i="1"/>
  <c r="D505" i="1"/>
  <c r="C505" i="1"/>
  <c r="I504" i="1"/>
  <c r="H504" i="1"/>
  <c r="G504" i="1"/>
  <c r="F504" i="1"/>
  <c r="E504" i="1"/>
  <c r="D504" i="1"/>
  <c r="C504" i="1"/>
  <c r="I503" i="1"/>
  <c r="H503" i="1"/>
  <c r="G503" i="1"/>
  <c r="F503" i="1"/>
  <c r="E503" i="1"/>
  <c r="D503" i="1"/>
  <c r="C503" i="1"/>
  <c r="I502" i="1"/>
  <c r="H502" i="1"/>
  <c r="G502" i="1"/>
  <c r="F502" i="1"/>
  <c r="E502" i="1"/>
  <c r="D502" i="1"/>
  <c r="C502" i="1"/>
  <c r="I501" i="1"/>
  <c r="H501" i="1"/>
  <c r="G501" i="1"/>
  <c r="F501" i="1"/>
  <c r="E501" i="1"/>
  <c r="D501" i="1"/>
  <c r="C501" i="1"/>
  <c r="I500" i="1"/>
  <c r="H500" i="1"/>
  <c r="G500" i="1"/>
  <c r="F500" i="1"/>
  <c r="E500" i="1"/>
  <c r="D500" i="1"/>
  <c r="C500" i="1"/>
  <c r="I499" i="1"/>
  <c r="H499" i="1"/>
  <c r="G499" i="1"/>
  <c r="F499" i="1"/>
  <c r="E499" i="1"/>
  <c r="D499" i="1"/>
  <c r="C499" i="1"/>
  <c r="I498" i="1"/>
  <c r="H498" i="1"/>
  <c r="G498" i="1"/>
  <c r="F498" i="1"/>
  <c r="E498" i="1"/>
  <c r="D498" i="1"/>
  <c r="C498" i="1"/>
  <c r="I497" i="1"/>
  <c r="H497" i="1"/>
  <c r="G497" i="1"/>
  <c r="F497" i="1"/>
  <c r="E497" i="1"/>
  <c r="D497" i="1"/>
  <c r="C497" i="1"/>
  <c r="I496" i="1"/>
  <c r="H496" i="1"/>
  <c r="G496" i="1"/>
  <c r="F496" i="1"/>
  <c r="E496" i="1"/>
  <c r="D496" i="1"/>
  <c r="C496" i="1"/>
  <c r="I495" i="1"/>
  <c r="H495" i="1"/>
  <c r="G495" i="1"/>
  <c r="F495" i="1"/>
  <c r="E495" i="1"/>
  <c r="D495" i="1"/>
  <c r="C495" i="1"/>
  <c r="I494" i="1"/>
  <c r="H494" i="1"/>
  <c r="G494" i="1"/>
  <c r="F494" i="1"/>
  <c r="E494" i="1"/>
  <c r="D494" i="1"/>
  <c r="C494" i="1"/>
  <c r="I493" i="1"/>
  <c r="H493" i="1"/>
  <c r="G493" i="1"/>
  <c r="F493" i="1"/>
  <c r="E493" i="1"/>
  <c r="D493" i="1"/>
  <c r="C493" i="1"/>
  <c r="I492" i="1"/>
  <c r="H492" i="1"/>
  <c r="G492" i="1"/>
  <c r="F492" i="1"/>
  <c r="E492" i="1"/>
  <c r="D492" i="1"/>
  <c r="C492" i="1"/>
  <c r="I491" i="1"/>
  <c r="H491" i="1"/>
  <c r="G491" i="1"/>
  <c r="F491" i="1"/>
  <c r="E491" i="1"/>
  <c r="D491" i="1"/>
  <c r="C491" i="1"/>
  <c r="I490" i="1"/>
  <c r="H490" i="1"/>
  <c r="G490" i="1"/>
  <c r="F490" i="1"/>
  <c r="E490" i="1"/>
  <c r="D490" i="1"/>
  <c r="C490" i="1"/>
  <c r="I489" i="1"/>
  <c r="H489" i="1"/>
  <c r="G489" i="1"/>
  <c r="F489" i="1"/>
  <c r="E489" i="1"/>
  <c r="D489" i="1"/>
  <c r="C489" i="1"/>
  <c r="I488" i="1"/>
  <c r="H488" i="1"/>
  <c r="G488" i="1"/>
  <c r="F488" i="1"/>
  <c r="E488" i="1"/>
  <c r="D488" i="1"/>
  <c r="C488" i="1"/>
  <c r="I487" i="1"/>
  <c r="H487" i="1"/>
  <c r="G487" i="1"/>
  <c r="F487" i="1"/>
  <c r="E487" i="1"/>
  <c r="D487" i="1"/>
  <c r="C487" i="1"/>
  <c r="I486" i="1"/>
  <c r="H486" i="1"/>
  <c r="G486" i="1"/>
  <c r="F486" i="1"/>
  <c r="E486" i="1"/>
  <c r="D486" i="1"/>
  <c r="C486" i="1"/>
  <c r="I485" i="1"/>
  <c r="H485" i="1"/>
  <c r="G485" i="1"/>
  <c r="F485" i="1"/>
  <c r="E485" i="1"/>
  <c r="D485" i="1"/>
  <c r="C485" i="1"/>
  <c r="I484" i="1"/>
  <c r="H484" i="1"/>
  <c r="G484" i="1"/>
  <c r="F484" i="1"/>
  <c r="E484" i="1"/>
  <c r="D484" i="1"/>
  <c r="C484" i="1"/>
  <c r="I483" i="1"/>
  <c r="H483" i="1"/>
  <c r="G483" i="1"/>
  <c r="F483" i="1"/>
  <c r="E483" i="1"/>
  <c r="D483" i="1"/>
  <c r="C483" i="1"/>
  <c r="I482" i="1"/>
  <c r="H482" i="1"/>
  <c r="G482" i="1"/>
  <c r="F482" i="1"/>
  <c r="E482" i="1"/>
  <c r="D482" i="1"/>
  <c r="C482" i="1"/>
  <c r="I481" i="1"/>
  <c r="H481" i="1"/>
  <c r="G481" i="1"/>
  <c r="F481" i="1"/>
  <c r="E481" i="1"/>
  <c r="D481" i="1"/>
  <c r="C481" i="1"/>
  <c r="I480" i="1"/>
  <c r="H480" i="1"/>
  <c r="G480" i="1"/>
  <c r="F480" i="1"/>
  <c r="E480" i="1"/>
  <c r="D480" i="1"/>
  <c r="C480" i="1"/>
  <c r="I479" i="1"/>
  <c r="H479" i="1"/>
  <c r="G479" i="1"/>
  <c r="F479" i="1"/>
  <c r="E479" i="1"/>
  <c r="D479" i="1"/>
  <c r="C479" i="1"/>
  <c r="I478" i="1"/>
  <c r="H478" i="1"/>
  <c r="G478" i="1"/>
  <c r="F478" i="1"/>
  <c r="E478" i="1"/>
  <c r="D478" i="1"/>
  <c r="C478" i="1"/>
  <c r="I477" i="1"/>
  <c r="H477" i="1"/>
  <c r="G477" i="1"/>
  <c r="F477" i="1"/>
  <c r="E477" i="1"/>
  <c r="D477" i="1"/>
  <c r="C477" i="1"/>
  <c r="I476" i="1"/>
  <c r="H476" i="1"/>
  <c r="G476" i="1"/>
  <c r="F476" i="1"/>
  <c r="E476" i="1"/>
  <c r="D476" i="1"/>
  <c r="C476" i="1"/>
  <c r="I475" i="1"/>
  <c r="H475" i="1"/>
  <c r="G475" i="1"/>
  <c r="F475" i="1"/>
  <c r="E475" i="1"/>
  <c r="D475" i="1"/>
  <c r="C475" i="1"/>
  <c r="I474" i="1"/>
  <c r="H474" i="1"/>
  <c r="G474" i="1"/>
  <c r="F474" i="1"/>
  <c r="E474" i="1"/>
  <c r="D474" i="1"/>
  <c r="C474" i="1"/>
  <c r="I473" i="1"/>
  <c r="H473" i="1"/>
  <c r="G473" i="1"/>
  <c r="F473" i="1"/>
  <c r="E473" i="1"/>
  <c r="D473" i="1"/>
  <c r="C473" i="1"/>
  <c r="I472" i="1"/>
  <c r="H472" i="1"/>
  <c r="G472" i="1"/>
  <c r="F472" i="1"/>
  <c r="E472" i="1"/>
  <c r="D472" i="1"/>
  <c r="C472" i="1"/>
  <c r="I471" i="1"/>
  <c r="H471" i="1"/>
  <c r="G471" i="1"/>
  <c r="F471" i="1"/>
  <c r="E471" i="1"/>
  <c r="D471" i="1"/>
  <c r="C471" i="1"/>
  <c r="I470" i="1"/>
  <c r="H470" i="1"/>
  <c r="G470" i="1"/>
  <c r="F470" i="1"/>
  <c r="E470" i="1"/>
  <c r="D470" i="1"/>
  <c r="C470" i="1"/>
  <c r="I469" i="1"/>
  <c r="H469" i="1"/>
  <c r="G469" i="1"/>
  <c r="F469" i="1"/>
  <c r="E469" i="1"/>
  <c r="D469" i="1"/>
  <c r="C469" i="1"/>
  <c r="I468" i="1"/>
  <c r="H468" i="1"/>
  <c r="G468" i="1"/>
  <c r="F468" i="1"/>
  <c r="E468" i="1"/>
  <c r="D468" i="1"/>
  <c r="C468" i="1"/>
  <c r="I467" i="1"/>
  <c r="H467" i="1"/>
  <c r="G467" i="1"/>
  <c r="F467" i="1"/>
  <c r="E467" i="1"/>
  <c r="D467" i="1"/>
  <c r="C467" i="1"/>
  <c r="I466" i="1"/>
  <c r="H466" i="1"/>
  <c r="G466" i="1"/>
  <c r="F466" i="1"/>
  <c r="E466" i="1"/>
  <c r="D466" i="1"/>
  <c r="C466" i="1"/>
  <c r="I465" i="1"/>
  <c r="H465" i="1"/>
  <c r="G465" i="1"/>
  <c r="F465" i="1"/>
  <c r="E465" i="1"/>
  <c r="D465" i="1"/>
  <c r="C465" i="1"/>
  <c r="I464" i="1"/>
  <c r="H464" i="1"/>
  <c r="G464" i="1"/>
  <c r="F464" i="1"/>
  <c r="E464" i="1"/>
  <c r="D464" i="1"/>
  <c r="C464" i="1"/>
  <c r="I463" i="1"/>
  <c r="H463" i="1"/>
  <c r="G463" i="1"/>
  <c r="F463" i="1"/>
  <c r="E463" i="1"/>
  <c r="D463" i="1"/>
  <c r="C463" i="1"/>
  <c r="I462" i="1"/>
  <c r="H462" i="1"/>
  <c r="G462" i="1"/>
  <c r="F462" i="1"/>
  <c r="E462" i="1"/>
  <c r="D462" i="1"/>
  <c r="C462" i="1"/>
  <c r="I461" i="1"/>
  <c r="H461" i="1"/>
  <c r="G461" i="1"/>
  <c r="F461" i="1"/>
  <c r="E461" i="1"/>
  <c r="D461" i="1"/>
  <c r="C461" i="1"/>
  <c r="I460" i="1"/>
  <c r="H460" i="1"/>
  <c r="G460" i="1"/>
  <c r="F460" i="1"/>
  <c r="E460" i="1"/>
  <c r="D460" i="1"/>
  <c r="C460" i="1"/>
  <c r="I459" i="1"/>
  <c r="H459" i="1"/>
  <c r="G459" i="1"/>
  <c r="F459" i="1"/>
  <c r="E459" i="1"/>
  <c r="D459" i="1"/>
  <c r="C459" i="1"/>
  <c r="I458" i="1"/>
  <c r="H458" i="1"/>
  <c r="G458" i="1"/>
  <c r="F458" i="1"/>
  <c r="E458" i="1"/>
  <c r="D458" i="1"/>
  <c r="C458" i="1"/>
  <c r="I457" i="1"/>
  <c r="H457" i="1"/>
  <c r="G457" i="1"/>
  <c r="F457" i="1"/>
  <c r="E457" i="1"/>
  <c r="D457" i="1"/>
  <c r="C457" i="1"/>
  <c r="I456" i="1"/>
  <c r="H456" i="1"/>
  <c r="G456" i="1"/>
  <c r="F456" i="1"/>
  <c r="E456" i="1"/>
  <c r="D456" i="1"/>
  <c r="C456" i="1"/>
  <c r="I455" i="1"/>
  <c r="H455" i="1"/>
  <c r="G455" i="1"/>
  <c r="F455" i="1"/>
  <c r="E455" i="1"/>
  <c r="D455" i="1"/>
  <c r="C455" i="1"/>
  <c r="I454" i="1"/>
  <c r="H454" i="1"/>
  <c r="G454" i="1"/>
  <c r="F454" i="1"/>
  <c r="E454" i="1"/>
  <c r="D454" i="1"/>
  <c r="C454" i="1"/>
  <c r="I453" i="1"/>
  <c r="H453" i="1"/>
  <c r="G453" i="1"/>
  <c r="F453" i="1"/>
  <c r="E453" i="1"/>
  <c r="D453" i="1"/>
  <c r="C453" i="1"/>
  <c r="I452" i="1"/>
  <c r="H452" i="1"/>
  <c r="G452" i="1"/>
  <c r="F452" i="1"/>
  <c r="E452" i="1"/>
  <c r="D452" i="1"/>
  <c r="C452" i="1"/>
  <c r="I451" i="1"/>
  <c r="H451" i="1"/>
  <c r="G451" i="1"/>
  <c r="F451" i="1"/>
  <c r="E451" i="1"/>
  <c r="D451" i="1"/>
  <c r="C451" i="1"/>
  <c r="I450" i="1"/>
  <c r="H450" i="1"/>
  <c r="G450" i="1"/>
  <c r="F450" i="1"/>
  <c r="E450" i="1"/>
  <c r="D450" i="1"/>
  <c r="C450" i="1"/>
  <c r="I449" i="1"/>
  <c r="H449" i="1"/>
  <c r="G449" i="1"/>
  <c r="F449" i="1"/>
  <c r="E449" i="1"/>
  <c r="D449" i="1"/>
  <c r="C449" i="1"/>
  <c r="I448" i="1"/>
  <c r="H448" i="1"/>
  <c r="G448" i="1"/>
  <c r="F448" i="1"/>
  <c r="E448" i="1"/>
  <c r="D448" i="1"/>
  <c r="C448" i="1"/>
  <c r="I447" i="1"/>
  <c r="H447" i="1"/>
  <c r="G447" i="1"/>
  <c r="F447" i="1"/>
  <c r="E447" i="1"/>
  <c r="D447" i="1"/>
  <c r="C447" i="1"/>
  <c r="I446" i="1"/>
  <c r="H446" i="1"/>
  <c r="G446" i="1"/>
  <c r="F446" i="1"/>
  <c r="E446" i="1"/>
  <c r="D446" i="1"/>
  <c r="C446" i="1"/>
  <c r="I445" i="1"/>
  <c r="H445" i="1"/>
  <c r="G445" i="1"/>
  <c r="F445" i="1"/>
  <c r="E445" i="1"/>
  <c r="D445" i="1"/>
  <c r="C445" i="1"/>
  <c r="I444" i="1"/>
  <c r="H444" i="1"/>
  <c r="G444" i="1"/>
  <c r="F444" i="1"/>
  <c r="E444" i="1"/>
  <c r="D444" i="1"/>
  <c r="C444" i="1"/>
  <c r="I443" i="1"/>
  <c r="H443" i="1"/>
  <c r="G443" i="1"/>
  <c r="F443" i="1"/>
  <c r="E443" i="1"/>
  <c r="D443" i="1"/>
  <c r="C443" i="1"/>
  <c r="I442" i="1"/>
  <c r="H442" i="1"/>
  <c r="G442" i="1"/>
  <c r="F442" i="1"/>
  <c r="E442" i="1"/>
  <c r="D442" i="1"/>
  <c r="C442" i="1"/>
  <c r="I441" i="1"/>
  <c r="H441" i="1"/>
  <c r="G441" i="1"/>
  <c r="F441" i="1"/>
  <c r="E441" i="1"/>
  <c r="D441" i="1"/>
  <c r="C441" i="1"/>
  <c r="I440" i="1"/>
  <c r="H440" i="1"/>
  <c r="G440" i="1"/>
  <c r="F440" i="1"/>
  <c r="E440" i="1"/>
  <c r="D440" i="1"/>
  <c r="C440" i="1"/>
  <c r="I439" i="1"/>
  <c r="H439" i="1"/>
  <c r="G439" i="1"/>
  <c r="F439" i="1"/>
  <c r="E439" i="1"/>
  <c r="D439" i="1"/>
  <c r="C439" i="1"/>
  <c r="I438" i="1"/>
  <c r="H438" i="1"/>
  <c r="G438" i="1"/>
  <c r="F438" i="1"/>
  <c r="E438" i="1"/>
  <c r="D438" i="1"/>
  <c r="C438" i="1"/>
  <c r="I437" i="1"/>
  <c r="H437" i="1"/>
  <c r="G437" i="1"/>
  <c r="F437" i="1"/>
  <c r="E437" i="1"/>
  <c r="D437" i="1"/>
  <c r="C437" i="1"/>
  <c r="I436" i="1"/>
  <c r="H436" i="1"/>
  <c r="G436" i="1"/>
  <c r="F436" i="1"/>
  <c r="E436" i="1"/>
  <c r="D436" i="1"/>
  <c r="C436" i="1"/>
  <c r="I435" i="1"/>
  <c r="H435" i="1"/>
  <c r="G435" i="1"/>
  <c r="F435" i="1"/>
  <c r="E435" i="1"/>
  <c r="D435" i="1"/>
  <c r="C435" i="1"/>
  <c r="I434" i="1"/>
  <c r="H434" i="1"/>
  <c r="G434" i="1"/>
  <c r="F434" i="1"/>
  <c r="E434" i="1"/>
  <c r="D434" i="1"/>
  <c r="C434" i="1"/>
  <c r="I433" i="1"/>
  <c r="H433" i="1"/>
  <c r="G433" i="1"/>
  <c r="F433" i="1"/>
  <c r="E433" i="1"/>
  <c r="D433" i="1"/>
  <c r="C433" i="1"/>
  <c r="I432" i="1"/>
  <c r="H432" i="1"/>
  <c r="G432" i="1"/>
  <c r="F432" i="1"/>
  <c r="E432" i="1"/>
  <c r="D432" i="1"/>
  <c r="C432" i="1"/>
  <c r="I431" i="1"/>
  <c r="H431" i="1"/>
  <c r="G431" i="1"/>
  <c r="F431" i="1"/>
  <c r="E431" i="1"/>
  <c r="D431" i="1"/>
  <c r="C431" i="1"/>
  <c r="I430" i="1"/>
  <c r="H430" i="1"/>
  <c r="G430" i="1"/>
  <c r="F430" i="1"/>
  <c r="E430" i="1"/>
  <c r="D430" i="1"/>
  <c r="C430" i="1"/>
  <c r="I429" i="1"/>
  <c r="H429" i="1"/>
  <c r="G429" i="1"/>
  <c r="F429" i="1"/>
  <c r="E429" i="1"/>
  <c r="D429" i="1"/>
  <c r="C429" i="1"/>
  <c r="I428" i="1"/>
  <c r="H428" i="1"/>
  <c r="G428" i="1"/>
  <c r="F428" i="1"/>
  <c r="E428" i="1"/>
  <c r="D428" i="1"/>
  <c r="C428" i="1"/>
  <c r="I427" i="1"/>
  <c r="H427" i="1"/>
  <c r="G427" i="1"/>
  <c r="F427" i="1"/>
  <c r="E427" i="1"/>
  <c r="D427" i="1"/>
  <c r="C427" i="1"/>
  <c r="I426" i="1"/>
  <c r="H426" i="1"/>
  <c r="G426" i="1"/>
  <c r="F426" i="1"/>
  <c r="E426" i="1"/>
  <c r="D426" i="1"/>
  <c r="C426" i="1"/>
  <c r="I425" i="1"/>
  <c r="H425" i="1"/>
  <c r="G425" i="1"/>
  <c r="F425" i="1"/>
  <c r="E425" i="1"/>
  <c r="D425" i="1"/>
  <c r="C425" i="1"/>
  <c r="I424" i="1"/>
  <c r="H424" i="1"/>
  <c r="G424" i="1"/>
  <c r="F424" i="1"/>
  <c r="E424" i="1"/>
  <c r="D424" i="1"/>
  <c r="C424" i="1"/>
  <c r="I423" i="1"/>
  <c r="H423" i="1"/>
  <c r="G423" i="1"/>
  <c r="F423" i="1"/>
  <c r="E423" i="1"/>
  <c r="D423" i="1"/>
  <c r="C423" i="1"/>
  <c r="I422" i="1"/>
  <c r="H422" i="1"/>
  <c r="G422" i="1"/>
  <c r="F422" i="1"/>
  <c r="E422" i="1"/>
  <c r="D422" i="1"/>
  <c r="C422" i="1"/>
  <c r="I421" i="1"/>
  <c r="H421" i="1"/>
  <c r="G421" i="1"/>
  <c r="F421" i="1"/>
  <c r="E421" i="1"/>
  <c r="D421" i="1"/>
  <c r="C421" i="1"/>
  <c r="I420" i="1"/>
  <c r="H420" i="1"/>
  <c r="G420" i="1"/>
  <c r="F420" i="1"/>
  <c r="E420" i="1"/>
  <c r="D420" i="1"/>
  <c r="C420" i="1"/>
  <c r="I419" i="1"/>
  <c r="H419" i="1"/>
  <c r="G419" i="1"/>
  <c r="F419" i="1"/>
  <c r="E419" i="1"/>
  <c r="D419" i="1"/>
  <c r="C419" i="1"/>
  <c r="I418" i="1"/>
  <c r="H418" i="1"/>
  <c r="G418" i="1"/>
  <c r="F418" i="1"/>
  <c r="E418" i="1"/>
  <c r="D418" i="1"/>
  <c r="C418" i="1"/>
  <c r="I417" i="1"/>
  <c r="H417" i="1"/>
  <c r="G417" i="1"/>
  <c r="F417" i="1"/>
  <c r="E417" i="1"/>
  <c r="D417" i="1"/>
  <c r="C417" i="1"/>
  <c r="I416" i="1"/>
  <c r="H416" i="1"/>
  <c r="G416" i="1"/>
  <c r="F416" i="1"/>
  <c r="E416" i="1"/>
  <c r="D416" i="1"/>
  <c r="C416" i="1"/>
  <c r="I415" i="1"/>
  <c r="H415" i="1"/>
  <c r="G415" i="1"/>
  <c r="F415" i="1"/>
  <c r="E415" i="1"/>
  <c r="D415" i="1"/>
  <c r="C415" i="1"/>
  <c r="I414" i="1"/>
  <c r="H414" i="1"/>
  <c r="G414" i="1"/>
  <c r="F414" i="1"/>
  <c r="E414" i="1"/>
  <c r="D414" i="1"/>
  <c r="C414" i="1"/>
  <c r="I413" i="1"/>
  <c r="H413" i="1"/>
  <c r="G413" i="1"/>
  <c r="F413" i="1"/>
  <c r="E413" i="1"/>
  <c r="D413" i="1"/>
  <c r="C413" i="1"/>
  <c r="I412" i="1"/>
  <c r="H412" i="1"/>
  <c r="G412" i="1"/>
  <c r="F412" i="1"/>
  <c r="E412" i="1"/>
  <c r="D412" i="1"/>
  <c r="C412" i="1"/>
  <c r="I411" i="1"/>
  <c r="H411" i="1"/>
  <c r="G411" i="1"/>
  <c r="F411" i="1"/>
  <c r="E411" i="1"/>
  <c r="D411" i="1"/>
  <c r="C411" i="1"/>
  <c r="I410" i="1"/>
  <c r="H410" i="1"/>
  <c r="G410" i="1"/>
  <c r="F410" i="1"/>
  <c r="E410" i="1"/>
  <c r="D410" i="1"/>
  <c r="C410" i="1"/>
  <c r="I409" i="1"/>
  <c r="H409" i="1"/>
  <c r="G409" i="1"/>
  <c r="F409" i="1"/>
  <c r="E409" i="1"/>
  <c r="D409" i="1"/>
  <c r="C409" i="1"/>
  <c r="I408" i="1"/>
  <c r="H408" i="1"/>
  <c r="G408" i="1"/>
  <c r="F408" i="1"/>
  <c r="E408" i="1"/>
  <c r="D408" i="1"/>
  <c r="C408" i="1"/>
  <c r="I407" i="1"/>
  <c r="H407" i="1"/>
  <c r="G407" i="1"/>
  <c r="F407" i="1"/>
  <c r="E407" i="1"/>
  <c r="D407" i="1"/>
  <c r="C407" i="1"/>
  <c r="I406" i="1"/>
  <c r="H406" i="1"/>
  <c r="G406" i="1"/>
  <c r="F406" i="1"/>
  <c r="E406" i="1"/>
  <c r="D406" i="1"/>
  <c r="C406" i="1"/>
  <c r="I405" i="1"/>
  <c r="H405" i="1"/>
  <c r="G405" i="1"/>
  <c r="F405" i="1"/>
  <c r="E405" i="1"/>
  <c r="D405" i="1"/>
  <c r="C405" i="1"/>
  <c r="I404" i="1"/>
  <c r="H404" i="1"/>
  <c r="G404" i="1"/>
  <c r="F404" i="1"/>
  <c r="E404" i="1"/>
  <c r="D404" i="1"/>
  <c r="C404" i="1"/>
  <c r="I403" i="1"/>
  <c r="H403" i="1"/>
  <c r="G403" i="1"/>
  <c r="F403" i="1"/>
  <c r="E403" i="1"/>
  <c r="D403" i="1"/>
  <c r="C403" i="1"/>
  <c r="I402" i="1"/>
  <c r="H402" i="1"/>
  <c r="G402" i="1"/>
  <c r="F402" i="1"/>
  <c r="E402" i="1"/>
  <c r="D402" i="1"/>
  <c r="C402" i="1"/>
  <c r="I401" i="1"/>
  <c r="H401" i="1"/>
  <c r="G401" i="1"/>
  <c r="F401" i="1"/>
  <c r="E401" i="1"/>
  <c r="D401" i="1"/>
  <c r="C401" i="1"/>
  <c r="I400" i="1"/>
  <c r="H400" i="1"/>
  <c r="G400" i="1"/>
  <c r="F400" i="1"/>
  <c r="E400" i="1"/>
  <c r="D400" i="1"/>
  <c r="C400" i="1"/>
  <c r="I399" i="1"/>
  <c r="H399" i="1"/>
  <c r="G399" i="1"/>
  <c r="F399" i="1"/>
  <c r="E399" i="1"/>
  <c r="D399" i="1"/>
  <c r="C399" i="1"/>
  <c r="I398" i="1"/>
  <c r="H398" i="1"/>
  <c r="G398" i="1"/>
  <c r="F398" i="1"/>
  <c r="E398" i="1"/>
  <c r="D398" i="1"/>
  <c r="C398" i="1"/>
  <c r="I397" i="1"/>
  <c r="H397" i="1"/>
  <c r="G397" i="1"/>
  <c r="F397" i="1"/>
  <c r="E397" i="1"/>
  <c r="D397" i="1"/>
  <c r="C397" i="1"/>
  <c r="I396" i="1"/>
  <c r="H396" i="1"/>
  <c r="G396" i="1"/>
  <c r="F396" i="1"/>
  <c r="E396" i="1"/>
  <c r="D396" i="1"/>
  <c r="C396" i="1"/>
  <c r="I395" i="1"/>
  <c r="H395" i="1"/>
  <c r="G395" i="1"/>
  <c r="F395" i="1"/>
  <c r="E395" i="1"/>
  <c r="D395" i="1"/>
  <c r="C395" i="1"/>
  <c r="I394" i="1"/>
  <c r="H394" i="1"/>
  <c r="G394" i="1"/>
  <c r="F394" i="1"/>
  <c r="E394" i="1"/>
  <c r="D394" i="1"/>
  <c r="C394" i="1"/>
  <c r="I393" i="1"/>
  <c r="H393" i="1"/>
  <c r="G393" i="1"/>
  <c r="F393" i="1"/>
  <c r="E393" i="1"/>
  <c r="D393" i="1"/>
  <c r="C393" i="1"/>
  <c r="I392" i="1"/>
  <c r="H392" i="1"/>
  <c r="G392" i="1"/>
  <c r="F392" i="1"/>
  <c r="E392" i="1"/>
  <c r="D392" i="1"/>
  <c r="C392" i="1"/>
  <c r="I391" i="1"/>
  <c r="H391" i="1"/>
  <c r="G391" i="1"/>
  <c r="F391" i="1"/>
  <c r="E391" i="1"/>
  <c r="D391" i="1"/>
  <c r="C391" i="1"/>
  <c r="I390" i="1"/>
  <c r="H390" i="1"/>
  <c r="G390" i="1"/>
  <c r="F390" i="1"/>
  <c r="E390" i="1"/>
  <c r="D390" i="1"/>
  <c r="C390" i="1"/>
  <c r="I389" i="1"/>
  <c r="H389" i="1"/>
  <c r="G389" i="1"/>
  <c r="F389" i="1"/>
  <c r="E389" i="1"/>
  <c r="D389" i="1"/>
  <c r="C389" i="1"/>
  <c r="I388" i="1"/>
  <c r="H388" i="1"/>
  <c r="G388" i="1"/>
  <c r="F388" i="1"/>
  <c r="E388" i="1"/>
  <c r="D388" i="1"/>
  <c r="C388" i="1"/>
  <c r="I387" i="1"/>
  <c r="H387" i="1"/>
  <c r="G387" i="1"/>
  <c r="F387" i="1"/>
  <c r="E387" i="1"/>
  <c r="D387" i="1"/>
  <c r="C387" i="1"/>
  <c r="I386" i="1"/>
  <c r="H386" i="1"/>
  <c r="G386" i="1"/>
  <c r="F386" i="1"/>
  <c r="E386" i="1"/>
  <c r="D386" i="1"/>
  <c r="C386" i="1"/>
  <c r="I385" i="1"/>
  <c r="H385" i="1"/>
  <c r="G385" i="1"/>
  <c r="F385" i="1"/>
  <c r="E385" i="1"/>
  <c r="D385" i="1"/>
  <c r="C385" i="1"/>
  <c r="I384" i="1"/>
  <c r="H384" i="1"/>
  <c r="G384" i="1"/>
  <c r="F384" i="1"/>
  <c r="E384" i="1"/>
  <c r="D384" i="1"/>
  <c r="C384" i="1"/>
  <c r="I383" i="1"/>
  <c r="H383" i="1"/>
  <c r="G383" i="1"/>
  <c r="F383" i="1"/>
  <c r="E383" i="1"/>
  <c r="D383" i="1"/>
  <c r="C383" i="1"/>
  <c r="I382" i="1"/>
  <c r="H382" i="1"/>
  <c r="G382" i="1"/>
  <c r="F382" i="1"/>
  <c r="E382" i="1"/>
  <c r="D382" i="1"/>
  <c r="C382" i="1"/>
  <c r="I381" i="1"/>
  <c r="H381" i="1"/>
  <c r="G381" i="1"/>
  <c r="F381" i="1"/>
  <c r="E381" i="1"/>
  <c r="D381" i="1"/>
  <c r="C381" i="1"/>
  <c r="I380" i="1"/>
  <c r="H380" i="1"/>
  <c r="G380" i="1"/>
  <c r="F380" i="1"/>
  <c r="E380" i="1"/>
  <c r="D380" i="1"/>
  <c r="C380" i="1"/>
  <c r="I379" i="1"/>
  <c r="H379" i="1"/>
  <c r="G379" i="1"/>
  <c r="F379" i="1"/>
  <c r="E379" i="1"/>
  <c r="D379" i="1"/>
  <c r="C379" i="1"/>
  <c r="I378" i="1"/>
  <c r="H378" i="1"/>
  <c r="G378" i="1"/>
  <c r="F378" i="1"/>
  <c r="E378" i="1"/>
  <c r="D378" i="1"/>
  <c r="C378" i="1"/>
  <c r="I377" i="1"/>
  <c r="H377" i="1"/>
  <c r="G377" i="1"/>
  <c r="F377" i="1"/>
  <c r="E377" i="1"/>
  <c r="D377" i="1"/>
  <c r="C377" i="1"/>
  <c r="I376" i="1"/>
  <c r="H376" i="1"/>
  <c r="G376" i="1"/>
  <c r="F376" i="1"/>
  <c r="E376" i="1"/>
  <c r="D376" i="1"/>
  <c r="C376" i="1"/>
  <c r="I375" i="1"/>
  <c r="H375" i="1"/>
  <c r="G375" i="1"/>
  <c r="F375" i="1"/>
  <c r="E375" i="1"/>
  <c r="D375" i="1"/>
  <c r="C375" i="1"/>
  <c r="I374" i="1"/>
  <c r="H374" i="1"/>
  <c r="G374" i="1"/>
  <c r="F374" i="1"/>
  <c r="E374" i="1"/>
  <c r="D374" i="1"/>
  <c r="C374" i="1"/>
  <c r="I373" i="1"/>
  <c r="H373" i="1"/>
  <c r="G373" i="1"/>
  <c r="F373" i="1"/>
  <c r="E373" i="1"/>
  <c r="D373" i="1"/>
  <c r="C373" i="1"/>
  <c r="I372" i="1"/>
  <c r="H372" i="1"/>
  <c r="G372" i="1"/>
  <c r="F372" i="1"/>
  <c r="E372" i="1"/>
  <c r="D372" i="1"/>
  <c r="C372" i="1"/>
  <c r="I371" i="1"/>
  <c r="H371" i="1"/>
  <c r="G371" i="1"/>
  <c r="F371" i="1"/>
  <c r="E371" i="1"/>
  <c r="D371" i="1"/>
  <c r="C371" i="1"/>
  <c r="I370" i="1"/>
  <c r="H370" i="1"/>
  <c r="G370" i="1"/>
  <c r="F370" i="1"/>
  <c r="E370" i="1"/>
  <c r="D370" i="1"/>
  <c r="C370" i="1"/>
  <c r="I369" i="1"/>
  <c r="H369" i="1"/>
  <c r="G369" i="1"/>
  <c r="F369" i="1"/>
  <c r="E369" i="1"/>
  <c r="D369" i="1"/>
  <c r="C369" i="1"/>
  <c r="I368" i="1"/>
  <c r="H368" i="1"/>
  <c r="G368" i="1"/>
  <c r="F368" i="1"/>
  <c r="E368" i="1"/>
  <c r="D368" i="1"/>
  <c r="C368" i="1"/>
  <c r="I367" i="1"/>
  <c r="H367" i="1"/>
  <c r="G367" i="1"/>
  <c r="F367" i="1"/>
  <c r="E367" i="1"/>
  <c r="D367" i="1"/>
  <c r="C367" i="1"/>
  <c r="I366" i="1"/>
  <c r="H366" i="1"/>
  <c r="G366" i="1"/>
  <c r="F366" i="1"/>
  <c r="E366" i="1"/>
  <c r="D366" i="1"/>
  <c r="C366" i="1"/>
  <c r="I365" i="1"/>
  <c r="H365" i="1"/>
  <c r="G365" i="1"/>
  <c r="F365" i="1"/>
  <c r="E365" i="1"/>
  <c r="D365" i="1"/>
  <c r="C365" i="1"/>
  <c r="I364" i="1"/>
  <c r="H364" i="1"/>
  <c r="G364" i="1"/>
  <c r="F364" i="1"/>
  <c r="E364" i="1"/>
  <c r="D364" i="1"/>
  <c r="C364" i="1"/>
  <c r="I363" i="1"/>
  <c r="H363" i="1"/>
  <c r="G363" i="1"/>
  <c r="F363" i="1"/>
  <c r="E363" i="1"/>
  <c r="D363" i="1"/>
  <c r="C363" i="1"/>
  <c r="I362" i="1"/>
  <c r="H362" i="1"/>
  <c r="G362" i="1"/>
  <c r="F362" i="1"/>
  <c r="E362" i="1"/>
  <c r="D362" i="1"/>
  <c r="C362" i="1"/>
  <c r="I361" i="1"/>
  <c r="H361" i="1"/>
  <c r="G361" i="1"/>
  <c r="F361" i="1"/>
  <c r="E361" i="1"/>
  <c r="D361" i="1"/>
  <c r="C361" i="1"/>
  <c r="I360" i="1"/>
  <c r="H360" i="1"/>
  <c r="G360" i="1"/>
  <c r="F360" i="1"/>
  <c r="E360" i="1"/>
  <c r="D360" i="1"/>
  <c r="C360" i="1"/>
  <c r="I359" i="1"/>
  <c r="H359" i="1"/>
  <c r="G359" i="1"/>
  <c r="F359" i="1"/>
  <c r="E359" i="1"/>
  <c r="D359" i="1"/>
  <c r="C359" i="1"/>
  <c r="I358" i="1"/>
  <c r="H358" i="1"/>
  <c r="G358" i="1"/>
  <c r="F358" i="1"/>
  <c r="E358" i="1"/>
  <c r="D358" i="1"/>
  <c r="C358" i="1"/>
  <c r="I357" i="1"/>
  <c r="H357" i="1"/>
  <c r="G357" i="1"/>
  <c r="F357" i="1"/>
  <c r="E357" i="1"/>
  <c r="D357" i="1"/>
  <c r="C357" i="1"/>
  <c r="I356" i="1"/>
  <c r="H356" i="1"/>
  <c r="G356" i="1"/>
  <c r="F356" i="1"/>
  <c r="E356" i="1"/>
  <c r="D356" i="1"/>
  <c r="C356" i="1"/>
  <c r="I355" i="1"/>
  <c r="H355" i="1"/>
  <c r="G355" i="1"/>
  <c r="F355" i="1"/>
  <c r="E355" i="1"/>
  <c r="D355" i="1"/>
  <c r="C355" i="1"/>
  <c r="I354" i="1"/>
  <c r="H354" i="1"/>
  <c r="G354" i="1"/>
  <c r="F354" i="1"/>
  <c r="E354" i="1"/>
  <c r="D354" i="1"/>
  <c r="C354" i="1"/>
  <c r="I353" i="1"/>
  <c r="H353" i="1"/>
  <c r="G353" i="1"/>
  <c r="F353" i="1"/>
  <c r="E353" i="1"/>
  <c r="D353" i="1"/>
  <c r="C353" i="1"/>
  <c r="I352" i="1"/>
  <c r="H352" i="1"/>
  <c r="G352" i="1"/>
  <c r="F352" i="1"/>
  <c r="E352" i="1"/>
  <c r="D352" i="1"/>
  <c r="C352" i="1"/>
  <c r="I351" i="1"/>
  <c r="H351" i="1"/>
  <c r="G351" i="1"/>
  <c r="F351" i="1"/>
  <c r="E351" i="1"/>
  <c r="D351" i="1"/>
  <c r="C351" i="1"/>
  <c r="I350" i="1"/>
  <c r="H350" i="1"/>
  <c r="G350" i="1"/>
  <c r="F350" i="1"/>
  <c r="E350" i="1"/>
  <c r="D350" i="1"/>
  <c r="C350" i="1"/>
  <c r="I349" i="1"/>
  <c r="H349" i="1"/>
  <c r="G349" i="1"/>
  <c r="F349" i="1"/>
  <c r="E349" i="1"/>
  <c r="D349" i="1"/>
  <c r="C349" i="1"/>
  <c r="I348" i="1"/>
  <c r="H348" i="1"/>
  <c r="G348" i="1"/>
  <c r="F348" i="1"/>
  <c r="E348" i="1"/>
  <c r="D348" i="1"/>
  <c r="C348" i="1"/>
  <c r="I347" i="1"/>
  <c r="H347" i="1"/>
  <c r="G347" i="1"/>
  <c r="F347" i="1"/>
  <c r="E347" i="1"/>
  <c r="D347" i="1"/>
  <c r="C347" i="1"/>
  <c r="I346" i="1"/>
  <c r="H346" i="1"/>
  <c r="G346" i="1"/>
  <c r="F346" i="1"/>
  <c r="E346" i="1"/>
  <c r="D346" i="1"/>
  <c r="C346" i="1"/>
  <c r="I345" i="1"/>
  <c r="H345" i="1"/>
  <c r="G345" i="1"/>
  <c r="F345" i="1"/>
  <c r="E345" i="1"/>
  <c r="D345" i="1"/>
  <c r="C345" i="1"/>
  <c r="I344" i="1"/>
  <c r="H344" i="1"/>
  <c r="G344" i="1"/>
  <c r="F344" i="1"/>
  <c r="E344" i="1"/>
  <c r="D344" i="1"/>
  <c r="C344" i="1"/>
  <c r="I343" i="1"/>
  <c r="H343" i="1"/>
  <c r="G343" i="1"/>
  <c r="F343" i="1"/>
  <c r="E343" i="1"/>
  <c r="D343" i="1"/>
  <c r="C343" i="1"/>
  <c r="I342" i="1"/>
  <c r="H342" i="1"/>
  <c r="G342" i="1"/>
  <c r="F342" i="1"/>
  <c r="E342" i="1"/>
  <c r="D342" i="1"/>
  <c r="C342" i="1"/>
  <c r="I341" i="1"/>
  <c r="H341" i="1"/>
  <c r="G341" i="1"/>
  <c r="F341" i="1"/>
  <c r="E341" i="1"/>
  <c r="D341" i="1"/>
  <c r="C341" i="1"/>
  <c r="I340" i="1"/>
  <c r="H340" i="1"/>
  <c r="G340" i="1"/>
  <c r="F340" i="1"/>
  <c r="E340" i="1"/>
  <c r="D340" i="1"/>
  <c r="C340" i="1"/>
  <c r="I339" i="1"/>
  <c r="H339" i="1"/>
  <c r="G339" i="1"/>
  <c r="F339" i="1"/>
  <c r="E339" i="1"/>
  <c r="D339" i="1"/>
  <c r="C339" i="1"/>
  <c r="I338" i="1"/>
  <c r="H338" i="1"/>
  <c r="G338" i="1"/>
  <c r="F338" i="1"/>
  <c r="E338" i="1"/>
  <c r="D338" i="1"/>
  <c r="C338" i="1"/>
  <c r="I337" i="1"/>
  <c r="H337" i="1"/>
  <c r="G337" i="1"/>
  <c r="F337" i="1"/>
  <c r="E337" i="1"/>
  <c r="D337" i="1"/>
  <c r="C337" i="1"/>
  <c r="I336" i="1"/>
  <c r="H336" i="1"/>
  <c r="G336" i="1"/>
  <c r="F336" i="1"/>
  <c r="E336" i="1"/>
  <c r="D336" i="1"/>
  <c r="C336" i="1"/>
  <c r="I335" i="1"/>
  <c r="H335" i="1"/>
  <c r="G335" i="1"/>
  <c r="F335" i="1"/>
  <c r="E335" i="1"/>
  <c r="D335" i="1"/>
  <c r="C335" i="1"/>
  <c r="I334" i="1"/>
  <c r="H334" i="1"/>
  <c r="G334" i="1"/>
  <c r="F334" i="1"/>
  <c r="E334" i="1"/>
  <c r="D334" i="1"/>
  <c r="C334" i="1"/>
  <c r="I333" i="1"/>
  <c r="H333" i="1"/>
  <c r="G333" i="1"/>
  <c r="F333" i="1"/>
  <c r="E333" i="1"/>
  <c r="D333" i="1"/>
  <c r="C333" i="1"/>
  <c r="I332" i="1"/>
  <c r="H332" i="1"/>
  <c r="G332" i="1"/>
  <c r="F332" i="1"/>
  <c r="E332" i="1"/>
  <c r="D332" i="1"/>
  <c r="C332" i="1"/>
  <c r="I331" i="1"/>
  <c r="H331" i="1"/>
  <c r="G331" i="1"/>
  <c r="F331" i="1"/>
  <c r="E331" i="1"/>
  <c r="D331" i="1"/>
  <c r="C331" i="1"/>
  <c r="I330" i="1"/>
  <c r="H330" i="1"/>
  <c r="G330" i="1"/>
  <c r="F330" i="1"/>
  <c r="E330" i="1"/>
  <c r="D330" i="1"/>
  <c r="C330" i="1"/>
  <c r="I329" i="1"/>
  <c r="H329" i="1"/>
  <c r="G329" i="1"/>
  <c r="F329" i="1"/>
  <c r="E329" i="1"/>
  <c r="D329" i="1"/>
  <c r="C329" i="1"/>
  <c r="I328" i="1"/>
  <c r="H328" i="1"/>
  <c r="G328" i="1"/>
  <c r="F328" i="1"/>
  <c r="E328" i="1"/>
  <c r="D328" i="1"/>
  <c r="C328" i="1"/>
  <c r="I327" i="1"/>
  <c r="H327" i="1"/>
  <c r="G327" i="1"/>
  <c r="F327" i="1"/>
  <c r="E327" i="1"/>
  <c r="D327" i="1"/>
  <c r="C327" i="1"/>
  <c r="I326" i="1"/>
  <c r="H326" i="1"/>
  <c r="G326" i="1"/>
  <c r="F326" i="1"/>
  <c r="E326" i="1"/>
  <c r="D326" i="1"/>
  <c r="C326" i="1"/>
  <c r="I325" i="1"/>
  <c r="H325" i="1"/>
  <c r="G325" i="1"/>
  <c r="F325" i="1"/>
  <c r="E325" i="1"/>
  <c r="D325" i="1"/>
  <c r="C325" i="1"/>
  <c r="I324" i="1"/>
  <c r="H324" i="1"/>
  <c r="G324" i="1"/>
  <c r="F324" i="1"/>
  <c r="E324" i="1"/>
  <c r="D324" i="1"/>
  <c r="C324" i="1"/>
  <c r="I323" i="1"/>
  <c r="H323" i="1"/>
  <c r="G323" i="1"/>
  <c r="F323" i="1"/>
  <c r="E323" i="1"/>
  <c r="D323" i="1"/>
  <c r="C323" i="1"/>
  <c r="I322" i="1"/>
  <c r="H322" i="1"/>
  <c r="G322" i="1"/>
  <c r="F322" i="1"/>
  <c r="E322" i="1"/>
  <c r="D322" i="1"/>
  <c r="C322" i="1"/>
  <c r="I321" i="1"/>
  <c r="H321" i="1"/>
  <c r="G321" i="1"/>
  <c r="F321" i="1"/>
  <c r="E321" i="1"/>
  <c r="D321" i="1"/>
  <c r="C321" i="1"/>
  <c r="I320" i="1"/>
  <c r="H320" i="1"/>
  <c r="G320" i="1"/>
  <c r="F320" i="1"/>
  <c r="E320" i="1"/>
  <c r="D320" i="1"/>
  <c r="C320" i="1"/>
  <c r="I319" i="1"/>
  <c r="H319" i="1"/>
  <c r="G319" i="1"/>
  <c r="F319" i="1"/>
  <c r="E319" i="1"/>
  <c r="D319" i="1"/>
  <c r="C319" i="1"/>
  <c r="I318" i="1"/>
  <c r="H318" i="1"/>
  <c r="G318" i="1"/>
  <c r="F318" i="1"/>
  <c r="E318" i="1"/>
  <c r="D318" i="1"/>
  <c r="C318" i="1"/>
  <c r="I317" i="1"/>
  <c r="H317" i="1"/>
  <c r="G317" i="1"/>
  <c r="F317" i="1"/>
  <c r="E317" i="1"/>
  <c r="D317" i="1"/>
  <c r="C317" i="1"/>
  <c r="I316" i="1"/>
  <c r="H316" i="1"/>
  <c r="G316" i="1"/>
  <c r="F316" i="1"/>
  <c r="E316" i="1"/>
  <c r="D316" i="1"/>
  <c r="C316" i="1"/>
  <c r="I315" i="1"/>
  <c r="H315" i="1"/>
  <c r="G315" i="1"/>
  <c r="F315" i="1"/>
  <c r="E315" i="1"/>
  <c r="D315" i="1"/>
  <c r="C315" i="1"/>
  <c r="I314" i="1"/>
  <c r="H314" i="1"/>
  <c r="G314" i="1"/>
  <c r="F314" i="1"/>
  <c r="E314" i="1"/>
  <c r="D314" i="1"/>
  <c r="C314" i="1"/>
  <c r="I313" i="1"/>
  <c r="H313" i="1"/>
  <c r="G313" i="1"/>
  <c r="F313" i="1"/>
  <c r="E313" i="1"/>
  <c r="D313" i="1"/>
  <c r="C313" i="1"/>
  <c r="I312" i="1"/>
  <c r="H312" i="1"/>
  <c r="G312" i="1"/>
  <c r="F312" i="1"/>
  <c r="E312" i="1"/>
  <c r="D312" i="1"/>
  <c r="C312" i="1"/>
  <c r="I311" i="1"/>
  <c r="H311" i="1"/>
  <c r="G311" i="1"/>
  <c r="F311" i="1"/>
  <c r="E311" i="1"/>
  <c r="D311" i="1"/>
  <c r="C311" i="1"/>
  <c r="I310" i="1"/>
  <c r="H310" i="1"/>
  <c r="G310" i="1"/>
  <c r="F310" i="1"/>
  <c r="E310" i="1"/>
  <c r="D310" i="1"/>
  <c r="C310" i="1"/>
  <c r="I309" i="1"/>
  <c r="H309" i="1"/>
  <c r="G309" i="1"/>
  <c r="F309" i="1"/>
  <c r="E309" i="1"/>
  <c r="D309" i="1"/>
  <c r="C309" i="1"/>
  <c r="I308" i="1"/>
  <c r="H308" i="1"/>
  <c r="G308" i="1"/>
  <c r="F308" i="1"/>
  <c r="E308" i="1"/>
  <c r="D308" i="1"/>
  <c r="C308" i="1"/>
  <c r="I307" i="1"/>
  <c r="H307" i="1"/>
  <c r="G307" i="1"/>
  <c r="F307" i="1"/>
  <c r="E307" i="1"/>
  <c r="D307" i="1"/>
  <c r="C307" i="1"/>
  <c r="I306" i="1"/>
  <c r="H306" i="1"/>
  <c r="G306" i="1"/>
  <c r="F306" i="1"/>
  <c r="E306" i="1"/>
  <c r="D306" i="1"/>
  <c r="C306" i="1"/>
  <c r="I305" i="1"/>
  <c r="H305" i="1"/>
  <c r="G305" i="1"/>
  <c r="F305" i="1"/>
  <c r="E305" i="1"/>
  <c r="D305" i="1"/>
  <c r="C305" i="1"/>
  <c r="I304" i="1"/>
  <c r="H304" i="1"/>
  <c r="G304" i="1"/>
  <c r="F304" i="1"/>
  <c r="E304" i="1"/>
  <c r="D304" i="1"/>
  <c r="C304" i="1"/>
  <c r="I303" i="1"/>
  <c r="H303" i="1"/>
  <c r="G303" i="1"/>
  <c r="F303" i="1"/>
  <c r="E303" i="1"/>
  <c r="D303" i="1"/>
  <c r="C303" i="1"/>
  <c r="I302" i="1"/>
  <c r="H302" i="1"/>
  <c r="G302" i="1"/>
  <c r="F302" i="1"/>
  <c r="E302" i="1"/>
  <c r="D302" i="1"/>
  <c r="C302" i="1"/>
  <c r="I301" i="1"/>
  <c r="H301" i="1"/>
  <c r="G301" i="1"/>
  <c r="F301" i="1"/>
  <c r="E301" i="1"/>
  <c r="D301" i="1"/>
  <c r="C301" i="1"/>
  <c r="I300" i="1"/>
  <c r="H300" i="1"/>
  <c r="G300" i="1"/>
  <c r="F300" i="1"/>
  <c r="E300" i="1"/>
  <c r="D300" i="1"/>
  <c r="C300" i="1"/>
  <c r="I299" i="1"/>
  <c r="H299" i="1"/>
  <c r="G299" i="1"/>
  <c r="F299" i="1"/>
  <c r="E299" i="1"/>
  <c r="D299" i="1"/>
  <c r="C299" i="1"/>
  <c r="I298" i="1"/>
  <c r="H298" i="1"/>
  <c r="G298" i="1"/>
  <c r="F298" i="1"/>
  <c r="E298" i="1"/>
  <c r="D298" i="1"/>
  <c r="C298" i="1"/>
  <c r="I297" i="1"/>
  <c r="H297" i="1"/>
  <c r="G297" i="1"/>
  <c r="F297" i="1"/>
  <c r="E297" i="1"/>
  <c r="D297" i="1"/>
  <c r="C297" i="1"/>
  <c r="I296" i="1"/>
  <c r="H296" i="1"/>
  <c r="G296" i="1"/>
  <c r="F296" i="1"/>
  <c r="E296" i="1"/>
  <c r="D296" i="1"/>
  <c r="C296" i="1"/>
  <c r="I295" i="1"/>
  <c r="H295" i="1"/>
  <c r="G295" i="1"/>
  <c r="F295" i="1"/>
  <c r="E295" i="1"/>
  <c r="D295" i="1"/>
  <c r="C295" i="1"/>
  <c r="I294" i="1"/>
  <c r="H294" i="1"/>
  <c r="G294" i="1"/>
  <c r="F294" i="1"/>
  <c r="E294" i="1"/>
  <c r="D294" i="1"/>
  <c r="C294" i="1"/>
  <c r="I293" i="1"/>
  <c r="H293" i="1"/>
  <c r="G293" i="1"/>
  <c r="F293" i="1"/>
  <c r="E293" i="1"/>
  <c r="D293" i="1"/>
  <c r="C293" i="1"/>
  <c r="I292" i="1"/>
  <c r="H292" i="1"/>
  <c r="G292" i="1"/>
  <c r="F292" i="1"/>
  <c r="E292" i="1"/>
  <c r="D292" i="1"/>
  <c r="C292" i="1"/>
  <c r="I291" i="1"/>
  <c r="H291" i="1"/>
  <c r="G291" i="1"/>
  <c r="F291" i="1"/>
  <c r="E291" i="1"/>
  <c r="D291" i="1"/>
  <c r="C291" i="1"/>
  <c r="I290" i="1"/>
  <c r="H290" i="1"/>
  <c r="G290" i="1"/>
  <c r="F290" i="1"/>
  <c r="E290" i="1"/>
  <c r="D290" i="1"/>
  <c r="C290" i="1"/>
  <c r="I289" i="1"/>
  <c r="H289" i="1"/>
  <c r="G289" i="1"/>
  <c r="F289" i="1"/>
  <c r="E289" i="1"/>
  <c r="D289" i="1"/>
  <c r="C289" i="1"/>
  <c r="I288" i="1"/>
  <c r="H288" i="1"/>
  <c r="G288" i="1"/>
  <c r="F288" i="1"/>
  <c r="E288" i="1"/>
  <c r="D288" i="1"/>
  <c r="C288" i="1"/>
  <c r="I287" i="1"/>
  <c r="H287" i="1"/>
  <c r="G287" i="1"/>
  <c r="F287" i="1"/>
  <c r="E287" i="1"/>
  <c r="D287" i="1"/>
  <c r="C287" i="1"/>
  <c r="I286" i="1"/>
  <c r="H286" i="1"/>
  <c r="G286" i="1"/>
  <c r="F286" i="1"/>
  <c r="E286" i="1"/>
  <c r="D286" i="1"/>
  <c r="C286" i="1"/>
  <c r="I285" i="1"/>
  <c r="H285" i="1"/>
  <c r="G285" i="1"/>
  <c r="F285" i="1"/>
  <c r="E285" i="1"/>
  <c r="D285" i="1"/>
  <c r="C285" i="1"/>
  <c r="I284" i="1"/>
  <c r="H284" i="1"/>
  <c r="G284" i="1"/>
  <c r="F284" i="1"/>
  <c r="E284" i="1"/>
  <c r="D284" i="1"/>
  <c r="C284" i="1"/>
  <c r="I283" i="1"/>
  <c r="H283" i="1"/>
  <c r="G283" i="1"/>
  <c r="F283" i="1"/>
  <c r="E283" i="1"/>
  <c r="D283" i="1"/>
  <c r="C283" i="1"/>
  <c r="I282" i="1"/>
  <c r="H282" i="1"/>
  <c r="G282" i="1"/>
  <c r="F282" i="1"/>
  <c r="E282" i="1"/>
  <c r="D282" i="1"/>
  <c r="C282" i="1"/>
  <c r="I281" i="1"/>
  <c r="H281" i="1"/>
  <c r="G281" i="1"/>
  <c r="F281" i="1"/>
  <c r="E281" i="1"/>
  <c r="D281" i="1"/>
  <c r="C281" i="1"/>
  <c r="I280" i="1"/>
  <c r="H280" i="1"/>
  <c r="G280" i="1"/>
  <c r="F280" i="1"/>
  <c r="E280" i="1"/>
  <c r="D280" i="1"/>
  <c r="C280" i="1"/>
  <c r="I279" i="1"/>
  <c r="H279" i="1"/>
  <c r="G279" i="1"/>
  <c r="F279" i="1"/>
  <c r="E279" i="1"/>
  <c r="D279" i="1"/>
  <c r="C279" i="1"/>
  <c r="I278" i="1"/>
  <c r="H278" i="1"/>
  <c r="G278" i="1"/>
  <c r="F278" i="1"/>
  <c r="E278" i="1"/>
  <c r="D278" i="1"/>
  <c r="C278" i="1"/>
  <c r="I277" i="1"/>
  <c r="H277" i="1"/>
  <c r="G277" i="1"/>
  <c r="F277" i="1"/>
  <c r="E277" i="1"/>
  <c r="D277" i="1"/>
  <c r="C277" i="1"/>
  <c r="I276" i="1"/>
  <c r="H276" i="1"/>
  <c r="G276" i="1"/>
  <c r="F276" i="1"/>
  <c r="E276" i="1"/>
  <c r="D276" i="1"/>
  <c r="C276" i="1"/>
  <c r="I275" i="1"/>
  <c r="H275" i="1"/>
  <c r="G275" i="1"/>
  <c r="F275" i="1"/>
  <c r="E275" i="1"/>
  <c r="D275" i="1"/>
  <c r="C275" i="1"/>
  <c r="I274" i="1"/>
  <c r="H274" i="1"/>
  <c r="G274" i="1"/>
  <c r="F274" i="1"/>
  <c r="E274" i="1"/>
  <c r="D274" i="1"/>
  <c r="C274" i="1"/>
  <c r="I273" i="1"/>
  <c r="H273" i="1"/>
  <c r="G273" i="1"/>
  <c r="F273" i="1"/>
  <c r="E273" i="1"/>
  <c r="D273" i="1"/>
  <c r="C273" i="1"/>
  <c r="I272" i="1"/>
  <c r="H272" i="1"/>
  <c r="G272" i="1"/>
  <c r="F272" i="1"/>
  <c r="E272" i="1"/>
  <c r="D272" i="1"/>
  <c r="C272" i="1"/>
  <c r="I271" i="1"/>
  <c r="H271" i="1"/>
  <c r="G271" i="1"/>
  <c r="F271" i="1"/>
  <c r="E271" i="1"/>
  <c r="D271" i="1"/>
  <c r="C271" i="1"/>
  <c r="I270" i="1"/>
  <c r="H270" i="1"/>
  <c r="G270" i="1"/>
  <c r="F270" i="1"/>
  <c r="E270" i="1"/>
  <c r="D270" i="1"/>
  <c r="C270" i="1"/>
  <c r="I269" i="1"/>
  <c r="H269" i="1"/>
  <c r="G269" i="1"/>
  <c r="F269" i="1"/>
  <c r="E269" i="1"/>
  <c r="D269" i="1"/>
  <c r="C269" i="1"/>
  <c r="I268" i="1"/>
  <c r="H268" i="1"/>
  <c r="G268" i="1"/>
  <c r="F268" i="1"/>
  <c r="E268" i="1"/>
  <c r="D268" i="1"/>
  <c r="C268" i="1"/>
  <c r="I267" i="1"/>
  <c r="H267" i="1"/>
  <c r="G267" i="1"/>
  <c r="F267" i="1"/>
  <c r="E267" i="1"/>
  <c r="D267" i="1"/>
  <c r="C267" i="1"/>
  <c r="I266" i="1"/>
  <c r="H266" i="1"/>
  <c r="G266" i="1"/>
  <c r="F266" i="1"/>
  <c r="E266" i="1"/>
  <c r="D266" i="1"/>
  <c r="C266" i="1"/>
  <c r="I265" i="1"/>
  <c r="H265" i="1"/>
  <c r="G265" i="1"/>
  <c r="F265" i="1"/>
  <c r="E265" i="1"/>
  <c r="D265" i="1"/>
  <c r="C265" i="1"/>
  <c r="I264" i="1"/>
  <c r="H264" i="1"/>
  <c r="G264" i="1"/>
  <c r="F264" i="1"/>
  <c r="E264" i="1"/>
  <c r="D264" i="1"/>
  <c r="C264" i="1"/>
  <c r="I263" i="1"/>
  <c r="H263" i="1"/>
  <c r="G263" i="1"/>
  <c r="F263" i="1"/>
  <c r="E263" i="1"/>
  <c r="D263" i="1"/>
  <c r="C263" i="1"/>
  <c r="I262" i="1"/>
  <c r="H262" i="1"/>
  <c r="G262" i="1"/>
  <c r="F262" i="1"/>
  <c r="E262" i="1"/>
  <c r="D262" i="1"/>
  <c r="C262" i="1"/>
  <c r="I261" i="1"/>
  <c r="H261" i="1"/>
  <c r="G261" i="1"/>
  <c r="F261" i="1"/>
  <c r="E261" i="1"/>
  <c r="D261" i="1"/>
  <c r="C261" i="1"/>
  <c r="I260" i="1"/>
  <c r="H260" i="1"/>
  <c r="G260" i="1"/>
  <c r="F260" i="1"/>
  <c r="E260" i="1"/>
  <c r="D260" i="1"/>
  <c r="C260" i="1"/>
  <c r="I259" i="1"/>
  <c r="H259" i="1"/>
  <c r="G259" i="1"/>
  <c r="F259" i="1"/>
  <c r="E259" i="1"/>
  <c r="D259" i="1"/>
  <c r="C259" i="1"/>
  <c r="I258" i="1"/>
  <c r="H258" i="1"/>
  <c r="G258" i="1"/>
  <c r="F258" i="1"/>
  <c r="E258" i="1"/>
  <c r="D258" i="1"/>
  <c r="C258" i="1"/>
  <c r="I257" i="1"/>
  <c r="H257" i="1"/>
  <c r="G257" i="1"/>
  <c r="F257" i="1"/>
  <c r="E257" i="1"/>
  <c r="D257" i="1"/>
  <c r="C257" i="1"/>
  <c r="I256" i="1"/>
  <c r="H256" i="1"/>
  <c r="G256" i="1"/>
  <c r="F256" i="1"/>
  <c r="E256" i="1"/>
  <c r="D256" i="1"/>
  <c r="C256" i="1"/>
  <c r="I255" i="1"/>
  <c r="H255" i="1"/>
  <c r="G255" i="1"/>
  <c r="F255" i="1"/>
  <c r="E255" i="1"/>
  <c r="D255" i="1"/>
  <c r="C255" i="1"/>
  <c r="I254" i="1"/>
  <c r="H254" i="1"/>
  <c r="G254" i="1"/>
  <c r="F254" i="1"/>
  <c r="E254" i="1"/>
  <c r="D254" i="1"/>
  <c r="C254" i="1"/>
  <c r="I253" i="1"/>
  <c r="H253" i="1"/>
  <c r="G253" i="1"/>
  <c r="F253" i="1"/>
  <c r="E253" i="1"/>
  <c r="D253" i="1"/>
  <c r="C253" i="1"/>
  <c r="I252" i="1"/>
  <c r="H252" i="1"/>
  <c r="G252" i="1"/>
  <c r="F252" i="1"/>
  <c r="E252" i="1"/>
  <c r="D252" i="1"/>
  <c r="C252" i="1"/>
  <c r="I251" i="1"/>
  <c r="H251" i="1"/>
  <c r="G251" i="1"/>
  <c r="F251" i="1"/>
  <c r="E251" i="1"/>
  <c r="D251" i="1"/>
  <c r="C251" i="1"/>
  <c r="I250" i="1"/>
  <c r="H250" i="1"/>
  <c r="G250" i="1"/>
  <c r="F250" i="1"/>
  <c r="E250" i="1"/>
  <c r="D250" i="1"/>
  <c r="C250" i="1"/>
  <c r="I249" i="1"/>
  <c r="H249" i="1"/>
  <c r="G249" i="1"/>
  <c r="F249" i="1"/>
  <c r="E249" i="1"/>
  <c r="D249" i="1"/>
  <c r="C249" i="1"/>
  <c r="I248" i="1"/>
  <c r="H248" i="1"/>
  <c r="G248" i="1"/>
  <c r="F248" i="1"/>
  <c r="E248" i="1"/>
  <c r="D248" i="1"/>
  <c r="C248" i="1"/>
  <c r="I247" i="1"/>
  <c r="H247" i="1"/>
  <c r="G247" i="1"/>
  <c r="F247" i="1"/>
  <c r="E247" i="1"/>
  <c r="D247" i="1"/>
  <c r="C247" i="1"/>
  <c r="I246" i="1"/>
  <c r="H246" i="1"/>
  <c r="G246" i="1"/>
  <c r="F246" i="1"/>
  <c r="E246" i="1"/>
  <c r="D246" i="1"/>
  <c r="C246" i="1"/>
  <c r="I245" i="1"/>
  <c r="H245" i="1"/>
  <c r="G245" i="1"/>
  <c r="F245" i="1"/>
  <c r="E245" i="1"/>
  <c r="D245" i="1"/>
  <c r="C245" i="1"/>
  <c r="I244" i="1"/>
  <c r="H244" i="1"/>
  <c r="G244" i="1"/>
  <c r="F244" i="1"/>
  <c r="E244" i="1"/>
  <c r="D244" i="1"/>
  <c r="C244" i="1"/>
  <c r="I243" i="1"/>
  <c r="H243" i="1"/>
  <c r="G243" i="1"/>
  <c r="F243" i="1"/>
  <c r="E243" i="1"/>
  <c r="D243" i="1"/>
  <c r="C243" i="1"/>
  <c r="I242" i="1"/>
  <c r="H242" i="1"/>
  <c r="G242" i="1"/>
  <c r="F242" i="1"/>
  <c r="E242" i="1"/>
  <c r="D242" i="1"/>
  <c r="C242" i="1"/>
  <c r="I241" i="1"/>
  <c r="H241" i="1"/>
  <c r="G241" i="1"/>
  <c r="F241" i="1"/>
  <c r="E241" i="1"/>
  <c r="D241" i="1"/>
  <c r="C241" i="1"/>
  <c r="I240" i="1"/>
  <c r="H240" i="1"/>
  <c r="G240" i="1"/>
  <c r="F240" i="1"/>
  <c r="E240" i="1"/>
  <c r="D240" i="1"/>
  <c r="C240" i="1"/>
  <c r="I239" i="1"/>
  <c r="H239" i="1"/>
  <c r="G239" i="1"/>
  <c r="F239" i="1"/>
  <c r="E239" i="1"/>
  <c r="D239" i="1"/>
  <c r="C239" i="1"/>
  <c r="I238" i="1"/>
  <c r="H238" i="1"/>
  <c r="G238" i="1"/>
  <c r="F238" i="1"/>
  <c r="E238" i="1"/>
  <c r="D238" i="1"/>
  <c r="C238" i="1"/>
  <c r="I237" i="1"/>
  <c r="H237" i="1"/>
  <c r="G237" i="1"/>
  <c r="F237" i="1"/>
  <c r="E237" i="1"/>
  <c r="D237" i="1"/>
  <c r="C237" i="1"/>
  <c r="I236" i="1"/>
  <c r="H236" i="1"/>
  <c r="G236" i="1"/>
  <c r="F236" i="1"/>
  <c r="E236" i="1"/>
  <c r="D236" i="1"/>
  <c r="C236" i="1"/>
  <c r="I235" i="1"/>
  <c r="H235" i="1"/>
  <c r="G235" i="1"/>
  <c r="F235" i="1"/>
  <c r="E235" i="1"/>
  <c r="D235" i="1"/>
  <c r="C235" i="1"/>
  <c r="I234" i="1"/>
  <c r="H234" i="1"/>
  <c r="G234" i="1"/>
  <c r="F234" i="1"/>
  <c r="E234" i="1"/>
  <c r="D234" i="1"/>
  <c r="C234" i="1"/>
  <c r="I233" i="1"/>
  <c r="H233" i="1"/>
  <c r="G233" i="1"/>
  <c r="F233" i="1"/>
  <c r="E233" i="1"/>
  <c r="D233" i="1"/>
  <c r="C233" i="1"/>
  <c r="I232" i="1"/>
  <c r="H232" i="1"/>
  <c r="G232" i="1"/>
  <c r="F232" i="1"/>
  <c r="E232" i="1"/>
  <c r="D232" i="1"/>
  <c r="C232" i="1"/>
  <c r="I231" i="1"/>
  <c r="H231" i="1"/>
  <c r="G231" i="1"/>
  <c r="F231" i="1"/>
  <c r="E231" i="1"/>
  <c r="D231" i="1"/>
  <c r="C231" i="1"/>
  <c r="I230" i="1"/>
  <c r="H230" i="1"/>
  <c r="G230" i="1"/>
  <c r="F230" i="1"/>
  <c r="E230" i="1"/>
  <c r="D230" i="1"/>
  <c r="C230" i="1"/>
  <c r="I229" i="1"/>
  <c r="H229" i="1"/>
  <c r="G229" i="1"/>
  <c r="F229" i="1"/>
  <c r="E229" i="1"/>
  <c r="D229" i="1"/>
  <c r="C229" i="1"/>
  <c r="I228" i="1"/>
  <c r="H228" i="1"/>
  <c r="G228" i="1"/>
  <c r="F228" i="1"/>
  <c r="E228" i="1"/>
  <c r="D228" i="1"/>
  <c r="C228" i="1"/>
  <c r="I227" i="1"/>
  <c r="H227" i="1"/>
  <c r="G227" i="1"/>
  <c r="F227" i="1"/>
  <c r="E227" i="1"/>
  <c r="D227" i="1"/>
  <c r="C227" i="1"/>
  <c r="I226" i="1"/>
  <c r="H226" i="1"/>
  <c r="G226" i="1"/>
  <c r="F226" i="1"/>
  <c r="E226" i="1"/>
  <c r="D226" i="1"/>
  <c r="C226" i="1"/>
  <c r="I225" i="1"/>
  <c r="H225" i="1"/>
  <c r="G225" i="1"/>
  <c r="F225" i="1"/>
  <c r="E225" i="1"/>
  <c r="D225" i="1"/>
  <c r="C225" i="1"/>
  <c r="I224" i="1"/>
  <c r="H224" i="1"/>
  <c r="G224" i="1"/>
  <c r="F224" i="1"/>
  <c r="E224" i="1"/>
  <c r="D224" i="1"/>
  <c r="C224" i="1"/>
  <c r="I223" i="1"/>
  <c r="H223" i="1"/>
  <c r="G223" i="1"/>
  <c r="F223" i="1"/>
  <c r="E223" i="1"/>
  <c r="D223" i="1"/>
  <c r="C223" i="1"/>
  <c r="I222" i="1"/>
  <c r="H222" i="1"/>
  <c r="G222" i="1"/>
  <c r="F222" i="1"/>
  <c r="E222" i="1"/>
  <c r="D222" i="1"/>
  <c r="C222" i="1"/>
  <c r="I221" i="1"/>
  <c r="H221" i="1"/>
  <c r="G221" i="1"/>
  <c r="F221" i="1"/>
  <c r="E221" i="1"/>
  <c r="D221" i="1"/>
  <c r="C221" i="1"/>
  <c r="I220" i="1"/>
  <c r="H220" i="1"/>
  <c r="G220" i="1"/>
  <c r="F220" i="1"/>
  <c r="E220" i="1"/>
  <c r="D220" i="1"/>
  <c r="C220" i="1"/>
  <c r="I219" i="1"/>
  <c r="H219" i="1"/>
  <c r="G219" i="1"/>
  <c r="F219" i="1"/>
  <c r="E219" i="1"/>
  <c r="D219" i="1"/>
  <c r="C219" i="1"/>
  <c r="I218" i="1"/>
  <c r="H218" i="1"/>
  <c r="G218" i="1"/>
  <c r="F218" i="1"/>
  <c r="E218" i="1"/>
  <c r="D218" i="1"/>
  <c r="C218" i="1"/>
  <c r="I217" i="1"/>
  <c r="H217" i="1"/>
  <c r="G217" i="1"/>
  <c r="F217" i="1"/>
  <c r="E217" i="1"/>
  <c r="D217" i="1"/>
  <c r="C217" i="1"/>
  <c r="I216" i="1"/>
  <c r="H216" i="1"/>
  <c r="G216" i="1"/>
  <c r="F216" i="1"/>
  <c r="E216" i="1"/>
  <c r="D216" i="1"/>
  <c r="C216" i="1"/>
  <c r="I215" i="1"/>
  <c r="H215" i="1"/>
  <c r="G215" i="1"/>
  <c r="F215" i="1"/>
  <c r="E215" i="1"/>
  <c r="D215" i="1"/>
  <c r="C215" i="1"/>
  <c r="I214" i="1"/>
  <c r="H214" i="1"/>
  <c r="G214" i="1"/>
  <c r="F214" i="1"/>
  <c r="E214" i="1"/>
  <c r="D214" i="1"/>
  <c r="C214" i="1"/>
  <c r="I213" i="1"/>
  <c r="H213" i="1"/>
  <c r="G213" i="1"/>
  <c r="F213" i="1"/>
  <c r="E213" i="1"/>
  <c r="D213" i="1"/>
  <c r="C213" i="1"/>
  <c r="I212" i="1"/>
  <c r="H212" i="1"/>
  <c r="G212" i="1"/>
  <c r="F212" i="1"/>
  <c r="E212" i="1"/>
  <c r="D212" i="1"/>
  <c r="C212" i="1"/>
  <c r="I211" i="1"/>
  <c r="H211" i="1"/>
  <c r="G211" i="1"/>
  <c r="F211" i="1"/>
  <c r="E211" i="1"/>
  <c r="D211" i="1"/>
  <c r="C211" i="1"/>
  <c r="I210" i="1"/>
  <c r="H210" i="1"/>
  <c r="G210" i="1"/>
  <c r="F210" i="1"/>
  <c r="E210" i="1"/>
  <c r="D210" i="1"/>
  <c r="C210" i="1"/>
  <c r="I209" i="1"/>
  <c r="H209" i="1"/>
  <c r="G209" i="1"/>
  <c r="F209" i="1"/>
  <c r="E209" i="1"/>
  <c r="D209" i="1"/>
  <c r="C209" i="1"/>
  <c r="I208" i="1"/>
  <c r="H208" i="1"/>
  <c r="G208" i="1"/>
  <c r="F208" i="1"/>
  <c r="E208" i="1"/>
  <c r="D208" i="1"/>
  <c r="C208" i="1"/>
  <c r="I207" i="1"/>
  <c r="H207" i="1"/>
  <c r="G207" i="1"/>
  <c r="F207" i="1"/>
  <c r="E207" i="1"/>
  <c r="D207" i="1"/>
  <c r="C207" i="1"/>
  <c r="I206" i="1"/>
  <c r="H206" i="1"/>
  <c r="G206" i="1"/>
  <c r="F206" i="1"/>
  <c r="E206" i="1"/>
  <c r="D206" i="1"/>
  <c r="C206" i="1"/>
  <c r="I205" i="1"/>
  <c r="H205" i="1"/>
  <c r="G205" i="1"/>
  <c r="F205" i="1"/>
  <c r="E205" i="1"/>
  <c r="D205" i="1"/>
  <c r="C205" i="1"/>
  <c r="I204" i="1"/>
  <c r="H204" i="1"/>
  <c r="G204" i="1"/>
  <c r="F204" i="1"/>
  <c r="E204" i="1"/>
  <c r="D204" i="1"/>
  <c r="C204" i="1"/>
  <c r="I203" i="1"/>
  <c r="H203" i="1"/>
  <c r="G203" i="1"/>
  <c r="F203" i="1"/>
  <c r="E203" i="1"/>
  <c r="D203" i="1"/>
  <c r="C203" i="1"/>
  <c r="I202" i="1"/>
  <c r="H202" i="1"/>
  <c r="G202" i="1"/>
  <c r="F202" i="1"/>
  <c r="E202" i="1"/>
  <c r="D202" i="1"/>
  <c r="C202" i="1"/>
  <c r="I201" i="1"/>
  <c r="H201" i="1"/>
  <c r="G201" i="1"/>
  <c r="F201" i="1"/>
  <c r="E201" i="1"/>
  <c r="D201" i="1"/>
  <c r="C201" i="1"/>
  <c r="I200" i="1"/>
  <c r="H200" i="1"/>
  <c r="G200" i="1"/>
  <c r="F200" i="1"/>
  <c r="E200" i="1"/>
  <c r="D200" i="1"/>
  <c r="C200" i="1"/>
  <c r="I199" i="1"/>
  <c r="H199" i="1"/>
  <c r="G199" i="1"/>
  <c r="F199" i="1"/>
  <c r="E199" i="1"/>
  <c r="D199" i="1"/>
  <c r="C199" i="1"/>
  <c r="I198" i="1"/>
  <c r="H198" i="1"/>
  <c r="G198" i="1"/>
  <c r="F198" i="1"/>
  <c r="E198" i="1"/>
  <c r="D198" i="1"/>
  <c r="C198" i="1"/>
  <c r="I197" i="1"/>
  <c r="H197" i="1"/>
  <c r="G197" i="1"/>
  <c r="F197" i="1"/>
  <c r="E197" i="1"/>
  <c r="D197" i="1"/>
  <c r="C197" i="1"/>
  <c r="I196" i="1"/>
  <c r="H196" i="1"/>
  <c r="G196" i="1"/>
  <c r="F196" i="1"/>
  <c r="E196" i="1"/>
  <c r="D196" i="1"/>
  <c r="C196" i="1"/>
  <c r="I195" i="1"/>
  <c r="H195" i="1"/>
  <c r="G195" i="1"/>
  <c r="F195" i="1"/>
  <c r="E195" i="1"/>
  <c r="D195" i="1"/>
  <c r="C195" i="1"/>
  <c r="I194" i="1"/>
  <c r="H194" i="1"/>
  <c r="G194" i="1"/>
  <c r="F194" i="1"/>
  <c r="E194" i="1"/>
  <c r="D194" i="1"/>
  <c r="C194" i="1"/>
  <c r="I193" i="1"/>
  <c r="H193" i="1"/>
  <c r="G193" i="1"/>
  <c r="F193" i="1"/>
  <c r="E193" i="1"/>
  <c r="D193" i="1"/>
  <c r="C193" i="1"/>
  <c r="I192" i="1"/>
  <c r="H192" i="1"/>
  <c r="G192" i="1"/>
  <c r="F192" i="1"/>
  <c r="E192" i="1"/>
  <c r="D192" i="1"/>
  <c r="C192" i="1"/>
  <c r="I191" i="1"/>
  <c r="H191" i="1"/>
  <c r="G191" i="1"/>
  <c r="F191" i="1"/>
  <c r="E191" i="1"/>
  <c r="D191" i="1"/>
  <c r="C191" i="1"/>
  <c r="I190" i="1"/>
  <c r="H190" i="1"/>
  <c r="G190" i="1"/>
  <c r="F190" i="1"/>
  <c r="E190" i="1"/>
  <c r="D190" i="1"/>
  <c r="C190" i="1"/>
  <c r="I189" i="1"/>
  <c r="H189" i="1"/>
  <c r="G189" i="1"/>
  <c r="F189" i="1"/>
  <c r="E189" i="1"/>
  <c r="D189" i="1"/>
  <c r="C189" i="1"/>
  <c r="I188" i="1"/>
  <c r="H188" i="1"/>
  <c r="G188" i="1"/>
  <c r="F188" i="1"/>
  <c r="E188" i="1"/>
  <c r="D188" i="1"/>
  <c r="C188" i="1"/>
  <c r="I187" i="1"/>
  <c r="H187" i="1"/>
  <c r="G187" i="1"/>
  <c r="F187" i="1"/>
  <c r="E187" i="1"/>
  <c r="D187" i="1"/>
  <c r="C187" i="1"/>
  <c r="I186" i="1"/>
  <c r="H186" i="1"/>
  <c r="G186" i="1"/>
  <c r="F186" i="1"/>
  <c r="E186" i="1"/>
  <c r="D186" i="1"/>
  <c r="C186" i="1"/>
  <c r="I185" i="1"/>
  <c r="H185" i="1"/>
  <c r="G185" i="1"/>
  <c r="F185" i="1"/>
  <c r="E185" i="1"/>
  <c r="D185" i="1"/>
  <c r="C185" i="1"/>
  <c r="I184" i="1"/>
  <c r="H184" i="1"/>
  <c r="G184" i="1"/>
  <c r="F184" i="1"/>
  <c r="E184" i="1"/>
  <c r="D184" i="1"/>
  <c r="C184" i="1"/>
  <c r="I183" i="1"/>
  <c r="H183" i="1"/>
  <c r="G183" i="1"/>
  <c r="F183" i="1"/>
  <c r="E183" i="1"/>
  <c r="D183" i="1"/>
  <c r="C183" i="1"/>
  <c r="I182" i="1"/>
  <c r="H182" i="1"/>
  <c r="G182" i="1"/>
  <c r="F182" i="1"/>
  <c r="E182" i="1"/>
  <c r="D182" i="1"/>
  <c r="C182" i="1"/>
  <c r="I181" i="1"/>
  <c r="H181" i="1"/>
  <c r="G181" i="1"/>
  <c r="F181" i="1"/>
  <c r="E181" i="1"/>
  <c r="D181" i="1"/>
  <c r="C181" i="1"/>
  <c r="I180" i="1"/>
  <c r="H180" i="1"/>
  <c r="G180" i="1"/>
  <c r="F180" i="1"/>
  <c r="E180" i="1"/>
  <c r="D180" i="1"/>
  <c r="C180" i="1"/>
  <c r="I179" i="1"/>
  <c r="H179" i="1"/>
  <c r="G179" i="1"/>
  <c r="F179" i="1"/>
  <c r="E179" i="1"/>
  <c r="D179" i="1"/>
  <c r="C179" i="1"/>
  <c r="I178" i="1"/>
  <c r="H178" i="1"/>
  <c r="G178" i="1"/>
  <c r="F178" i="1"/>
  <c r="E178" i="1"/>
  <c r="D178" i="1"/>
  <c r="C178" i="1"/>
  <c r="I177" i="1"/>
  <c r="H177" i="1"/>
  <c r="G177" i="1"/>
  <c r="F177" i="1"/>
  <c r="E177" i="1"/>
  <c r="D177" i="1"/>
  <c r="C177" i="1"/>
  <c r="I176" i="1"/>
  <c r="H176" i="1"/>
  <c r="G176" i="1"/>
  <c r="F176" i="1"/>
  <c r="E176" i="1"/>
  <c r="D176" i="1"/>
  <c r="C176" i="1"/>
  <c r="I175" i="1"/>
  <c r="H175" i="1"/>
  <c r="G175" i="1"/>
  <c r="F175" i="1"/>
  <c r="E175" i="1"/>
  <c r="D175" i="1"/>
  <c r="C175" i="1"/>
  <c r="I174" i="1"/>
  <c r="H174" i="1"/>
  <c r="G174" i="1"/>
  <c r="F174" i="1"/>
  <c r="E174" i="1"/>
  <c r="D174" i="1"/>
  <c r="C174" i="1"/>
  <c r="I173" i="1"/>
  <c r="H173" i="1"/>
  <c r="G173" i="1"/>
  <c r="F173" i="1"/>
  <c r="E173" i="1"/>
  <c r="D173" i="1"/>
  <c r="C173" i="1"/>
  <c r="I172" i="1"/>
  <c r="H172" i="1"/>
  <c r="G172" i="1"/>
  <c r="F172" i="1"/>
  <c r="E172" i="1"/>
  <c r="D172" i="1"/>
  <c r="C172" i="1"/>
  <c r="I171" i="1"/>
  <c r="H171" i="1"/>
  <c r="G171" i="1"/>
  <c r="F171" i="1"/>
  <c r="E171" i="1"/>
  <c r="D171" i="1"/>
  <c r="C171" i="1"/>
  <c r="I170" i="1"/>
  <c r="H170" i="1"/>
  <c r="G170" i="1"/>
  <c r="F170" i="1"/>
  <c r="E170" i="1"/>
  <c r="D170" i="1"/>
  <c r="C170" i="1"/>
  <c r="I169" i="1"/>
  <c r="H169" i="1"/>
  <c r="G169" i="1"/>
  <c r="F169" i="1"/>
  <c r="E169" i="1"/>
  <c r="D169" i="1"/>
  <c r="C169" i="1"/>
  <c r="I168" i="1"/>
  <c r="H168" i="1"/>
  <c r="G168" i="1"/>
  <c r="F168" i="1"/>
  <c r="E168" i="1"/>
  <c r="D168" i="1"/>
  <c r="C168" i="1"/>
  <c r="I167" i="1"/>
  <c r="H167" i="1"/>
  <c r="G167" i="1"/>
  <c r="F167" i="1"/>
  <c r="E167" i="1"/>
  <c r="D167" i="1"/>
  <c r="C167" i="1"/>
  <c r="I166" i="1"/>
  <c r="H166" i="1"/>
  <c r="G166" i="1"/>
  <c r="F166" i="1"/>
  <c r="E166" i="1"/>
  <c r="D166" i="1"/>
  <c r="C166" i="1"/>
  <c r="I165" i="1"/>
  <c r="H165" i="1"/>
  <c r="G165" i="1"/>
  <c r="F165" i="1"/>
  <c r="E165" i="1"/>
  <c r="D165" i="1"/>
  <c r="C165" i="1"/>
  <c r="I164" i="1"/>
  <c r="H164" i="1"/>
  <c r="G164" i="1"/>
  <c r="F164" i="1"/>
  <c r="E164" i="1"/>
  <c r="D164" i="1"/>
  <c r="C164" i="1"/>
  <c r="I163" i="1"/>
  <c r="H163" i="1"/>
  <c r="G163" i="1"/>
  <c r="F163" i="1"/>
  <c r="E163" i="1"/>
  <c r="D163" i="1"/>
  <c r="C163" i="1"/>
  <c r="I162" i="1"/>
  <c r="H162" i="1"/>
  <c r="G162" i="1"/>
  <c r="F162" i="1"/>
  <c r="E162" i="1"/>
  <c r="D162" i="1"/>
  <c r="C162" i="1"/>
  <c r="I161" i="1"/>
  <c r="H161" i="1"/>
  <c r="G161" i="1"/>
  <c r="F161" i="1"/>
  <c r="E161" i="1"/>
  <c r="D161" i="1"/>
  <c r="C161" i="1"/>
  <c r="I160" i="1"/>
  <c r="H160" i="1"/>
  <c r="G160" i="1"/>
  <c r="F160" i="1"/>
  <c r="E160" i="1"/>
  <c r="D160" i="1"/>
  <c r="C160" i="1"/>
  <c r="I159" i="1"/>
  <c r="H159" i="1"/>
  <c r="G159" i="1"/>
  <c r="F159" i="1"/>
  <c r="E159" i="1"/>
  <c r="D159" i="1"/>
  <c r="C159" i="1"/>
  <c r="I158" i="1"/>
  <c r="H158" i="1"/>
  <c r="G158" i="1"/>
  <c r="F158" i="1"/>
  <c r="E158" i="1"/>
  <c r="D158" i="1"/>
  <c r="C158" i="1"/>
  <c r="I157" i="1"/>
  <c r="H157" i="1"/>
  <c r="G157" i="1"/>
  <c r="F157" i="1"/>
  <c r="E157" i="1"/>
  <c r="D157" i="1"/>
  <c r="C157" i="1"/>
  <c r="I156" i="1"/>
  <c r="H156" i="1"/>
  <c r="G156" i="1"/>
  <c r="F156" i="1"/>
  <c r="E156" i="1"/>
  <c r="D156" i="1"/>
  <c r="C156" i="1"/>
  <c r="I155" i="1"/>
  <c r="H155" i="1"/>
  <c r="G155" i="1"/>
  <c r="F155" i="1"/>
  <c r="E155" i="1"/>
  <c r="D155" i="1"/>
  <c r="C155" i="1"/>
  <c r="I154" i="1"/>
  <c r="H154" i="1"/>
  <c r="G154" i="1"/>
  <c r="F154" i="1"/>
  <c r="E154" i="1"/>
  <c r="D154" i="1"/>
  <c r="C154" i="1"/>
  <c r="I153" i="1"/>
  <c r="H153" i="1"/>
  <c r="G153" i="1"/>
  <c r="F153" i="1"/>
  <c r="E153" i="1"/>
  <c r="D153" i="1"/>
  <c r="C153" i="1"/>
  <c r="I152" i="1"/>
  <c r="H152" i="1"/>
  <c r="G152" i="1"/>
  <c r="F152" i="1"/>
  <c r="E152" i="1"/>
  <c r="D152" i="1"/>
  <c r="C152" i="1"/>
  <c r="I151" i="1"/>
  <c r="H151" i="1"/>
  <c r="G151" i="1"/>
  <c r="F151" i="1"/>
  <c r="E151" i="1"/>
  <c r="D151" i="1"/>
  <c r="C151" i="1"/>
  <c r="I150" i="1"/>
  <c r="H150" i="1"/>
  <c r="G150" i="1"/>
  <c r="F150" i="1"/>
  <c r="E150" i="1"/>
  <c r="D150" i="1"/>
  <c r="C150" i="1"/>
  <c r="I149" i="1"/>
  <c r="H149" i="1"/>
  <c r="G149" i="1"/>
  <c r="F149" i="1"/>
  <c r="E149" i="1"/>
  <c r="D149" i="1"/>
  <c r="C149" i="1"/>
  <c r="I148" i="1"/>
  <c r="H148" i="1"/>
  <c r="G148" i="1"/>
  <c r="F148" i="1"/>
  <c r="E148" i="1"/>
  <c r="D148" i="1"/>
  <c r="C148" i="1"/>
  <c r="I147" i="1"/>
  <c r="H147" i="1"/>
  <c r="G147" i="1"/>
  <c r="F147" i="1"/>
  <c r="E147" i="1"/>
  <c r="D147" i="1"/>
  <c r="C147" i="1"/>
  <c r="I146" i="1"/>
  <c r="H146" i="1"/>
  <c r="G146" i="1"/>
  <c r="F146" i="1"/>
  <c r="E146" i="1"/>
  <c r="D146" i="1"/>
  <c r="C146" i="1"/>
  <c r="I145" i="1"/>
  <c r="H145" i="1"/>
  <c r="G145" i="1"/>
  <c r="F145" i="1"/>
  <c r="E145" i="1"/>
  <c r="D145" i="1"/>
  <c r="C145" i="1"/>
  <c r="I144" i="1"/>
  <c r="H144" i="1"/>
  <c r="G144" i="1"/>
  <c r="F144" i="1"/>
  <c r="E144" i="1"/>
  <c r="D144" i="1"/>
  <c r="C144" i="1"/>
  <c r="I143" i="1"/>
  <c r="H143" i="1"/>
  <c r="G143" i="1"/>
  <c r="F143" i="1"/>
  <c r="E143" i="1"/>
  <c r="D143" i="1"/>
  <c r="C143" i="1"/>
  <c r="I142" i="1"/>
  <c r="H142" i="1"/>
  <c r="G142" i="1"/>
  <c r="F142" i="1"/>
  <c r="E142" i="1"/>
  <c r="D142" i="1"/>
  <c r="C142" i="1"/>
  <c r="I141" i="1"/>
  <c r="H141" i="1"/>
  <c r="G141" i="1"/>
  <c r="F141" i="1"/>
  <c r="E141" i="1"/>
  <c r="D141" i="1"/>
  <c r="C141" i="1"/>
  <c r="I140" i="1"/>
  <c r="H140" i="1"/>
  <c r="G140" i="1"/>
  <c r="F140" i="1"/>
  <c r="E140" i="1"/>
  <c r="D140" i="1"/>
  <c r="C140" i="1"/>
  <c r="I139" i="1"/>
  <c r="H139" i="1"/>
  <c r="G139" i="1"/>
  <c r="F139" i="1"/>
  <c r="E139" i="1"/>
  <c r="D139" i="1"/>
  <c r="C139" i="1"/>
  <c r="I138" i="1"/>
  <c r="H138" i="1"/>
  <c r="G138" i="1"/>
  <c r="F138" i="1"/>
  <c r="E138" i="1"/>
  <c r="D138" i="1"/>
  <c r="C138" i="1"/>
  <c r="I137" i="1"/>
  <c r="H137" i="1"/>
  <c r="G137" i="1"/>
  <c r="F137" i="1"/>
  <c r="E137" i="1"/>
  <c r="D137" i="1"/>
  <c r="C137" i="1"/>
  <c r="I136" i="1"/>
  <c r="H136" i="1"/>
  <c r="G136" i="1"/>
  <c r="F136" i="1"/>
  <c r="E136" i="1"/>
  <c r="D136" i="1"/>
  <c r="C136" i="1"/>
  <c r="I135" i="1"/>
  <c r="H135" i="1"/>
  <c r="G135" i="1"/>
  <c r="F135" i="1"/>
  <c r="E135" i="1"/>
  <c r="D135" i="1"/>
  <c r="C135" i="1"/>
  <c r="I134" i="1"/>
  <c r="H134" i="1"/>
  <c r="G134" i="1"/>
  <c r="F134" i="1"/>
  <c r="E134" i="1"/>
  <c r="D134" i="1"/>
  <c r="C134" i="1"/>
  <c r="I133" i="1"/>
  <c r="H133" i="1"/>
  <c r="G133" i="1"/>
  <c r="F133" i="1"/>
  <c r="E133" i="1"/>
  <c r="D133" i="1"/>
  <c r="C133" i="1"/>
  <c r="I132" i="1"/>
  <c r="H132" i="1"/>
  <c r="G132" i="1"/>
  <c r="F132" i="1"/>
  <c r="E132" i="1"/>
  <c r="D132" i="1"/>
  <c r="C132" i="1"/>
  <c r="I131" i="1"/>
  <c r="H131" i="1"/>
  <c r="G131" i="1"/>
  <c r="F131" i="1"/>
  <c r="E131" i="1"/>
  <c r="D131" i="1"/>
  <c r="C131" i="1"/>
  <c r="I130" i="1"/>
  <c r="H130" i="1"/>
  <c r="G130" i="1"/>
  <c r="F130" i="1"/>
  <c r="E130" i="1"/>
  <c r="D130" i="1"/>
  <c r="C130" i="1"/>
  <c r="I129" i="1"/>
  <c r="H129" i="1"/>
  <c r="G129" i="1"/>
  <c r="F129" i="1"/>
  <c r="E129" i="1"/>
  <c r="D129" i="1"/>
  <c r="C129" i="1"/>
  <c r="I128" i="1"/>
  <c r="H128" i="1"/>
  <c r="G128" i="1"/>
  <c r="F128" i="1"/>
  <c r="E128" i="1"/>
  <c r="D128" i="1"/>
  <c r="C128" i="1"/>
  <c r="I127" i="1"/>
  <c r="H127" i="1"/>
  <c r="G127" i="1"/>
  <c r="F127" i="1"/>
  <c r="E127" i="1"/>
  <c r="D127" i="1"/>
  <c r="C127" i="1"/>
  <c r="I126" i="1"/>
  <c r="H126" i="1"/>
  <c r="G126" i="1"/>
  <c r="F126" i="1"/>
  <c r="E126" i="1"/>
  <c r="D126" i="1"/>
  <c r="C126" i="1"/>
  <c r="I125" i="1"/>
  <c r="H125" i="1"/>
  <c r="G125" i="1"/>
  <c r="F125" i="1"/>
  <c r="E125" i="1"/>
  <c r="D125" i="1"/>
  <c r="C125" i="1"/>
  <c r="I124" i="1"/>
  <c r="H124" i="1"/>
  <c r="G124" i="1"/>
  <c r="F124" i="1"/>
  <c r="E124" i="1"/>
  <c r="D124" i="1"/>
  <c r="C124" i="1"/>
  <c r="I123" i="1"/>
  <c r="H123" i="1"/>
  <c r="G123" i="1"/>
  <c r="F123" i="1"/>
  <c r="E123" i="1"/>
  <c r="D123" i="1"/>
  <c r="C123" i="1"/>
  <c r="I122" i="1"/>
  <c r="H122" i="1"/>
  <c r="G122" i="1"/>
  <c r="F122" i="1"/>
  <c r="E122" i="1"/>
  <c r="D122" i="1"/>
  <c r="C122" i="1"/>
  <c r="I121" i="1"/>
  <c r="H121" i="1"/>
  <c r="G121" i="1"/>
  <c r="F121" i="1"/>
  <c r="E121" i="1"/>
  <c r="D121" i="1"/>
  <c r="C121" i="1"/>
  <c r="I120" i="1"/>
  <c r="H120" i="1"/>
  <c r="G120" i="1"/>
  <c r="F120" i="1"/>
  <c r="E120" i="1"/>
  <c r="D120" i="1"/>
  <c r="C120" i="1"/>
  <c r="I119" i="1"/>
  <c r="H119" i="1"/>
  <c r="G119" i="1"/>
  <c r="F119" i="1"/>
  <c r="E119" i="1"/>
  <c r="D119" i="1"/>
  <c r="C119" i="1"/>
  <c r="I118" i="1"/>
  <c r="H118" i="1"/>
  <c r="G118" i="1"/>
  <c r="F118" i="1"/>
  <c r="E118" i="1"/>
  <c r="D118" i="1"/>
  <c r="C118" i="1"/>
  <c r="I117" i="1"/>
  <c r="H117" i="1"/>
  <c r="G117" i="1"/>
  <c r="F117" i="1"/>
  <c r="E117" i="1"/>
  <c r="D117" i="1"/>
  <c r="C117" i="1"/>
  <c r="I116" i="1"/>
  <c r="H116" i="1"/>
  <c r="G116" i="1"/>
  <c r="F116" i="1"/>
  <c r="E116" i="1"/>
  <c r="D116" i="1"/>
  <c r="C116" i="1"/>
  <c r="I115" i="1"/>
  <c r="H115" i="1"/>
  <c r="G115" i="1"/>
  <c r="F115" i="1"/>
  <c r="E115" i="1"/>
  <c r="D115" i="1"/>
  <c r="C115" i="1"/>
  <c r="I114" i="1"/>
  <c r="H114" i="1"/>
  <c r="G114" i="1"/>
  <c r="F114" i="1"/>
  <c r="E114" i="1"/>
  <c r="D114" i="1"/>
  <c r="C114" i="1"/>
  <c r="I113" i="1"/>
  <c r="H113" i="1"/>
  <c r="G113" i="1"/>
  <c r="F113" i="1"/>
  <c r="E113" i="1"/>
  <c r="D113" i="1"/>
  <c r="C113" i="1"/>
  <c r="I112" i="1"/>
  <c r="H112" i="1"/>
  <c r="G112" i="1"/>
  <c r="F112" i="1"/>
  <c r="E112" i="1"/>
  <c r="D112" i="1"/>
  <c r="C112" i="1"/>
  <c r="I111" i="1"/>
  <c r="H111" i="1"/>
  <c r="G111" i="1"/>
  <c r="F111" i="1"/>
  <c r="E111" i="1"/>
  <c r="D111" i="1"/>
  <c r="C111" i="1"/>
  <c r="I110" i="1"/>
  <c r="H110" i="1"/>
  <c r="G110" i="1"/>
  <c r="F110" i="1"/>
  <c r="E110" i="1"/>
  <c r="D110" i="1"/>
  <c r="C110" i="1"/>
  <c r="I109" i="1"/>
  <c r="H109" i="1"/>
  <c r="G109" i="1"/>
  <c r="F109" i="1"/>
  <c r="E109" i="1"/>
  <c r="D109" i="1"/>
  <c r="C109" i="1"/>
  <c r="I108" i="1"/>
  <c r="H108" i="1"/>
  <c r="G108" i="1"/>
  <c r="F108" i="1"/>
  <c r="E108" i="1"/>
  <c r="D108" i="1"/>
  <c r="C108" i="1"/>
  <c r="I107" i="1"/>
  <c r="H107" i="1"/>
  <c r="G107" i="1"/>
  <c r="F107" i="1"/>
  <c r="E107" i="1"/>
  <c r="D107" i="1"/>
  <c r="C107" i="1"/>
  <c r="I106" i="1"/>
  <c r="H106" i="1"/>
  <c r="G106" i="1"/>
  <c r="F106" i="1"/>
  <c r="E106" i="1"/>
  <c r="D106" i="1"/>
  <c r="C106" i="1"/>
  <c r="I105" i="1"/>
  <c r="H105" i="1"/>
  <c r="G105" i="1"/>
  <c r="F105" i="1"/>
  <c r="E105" i="1"/>
  <c r="D105" i="1"/>
  <c r="C105" i="1"/>
  <c r="I104" i="1"/>
  <c r="H104" i="1"/>
  <c r="G104" i="1"/>
  <c r="F104" i="1"/>
  <c r="E104" i="1"/>
  <c r="D104" i="1"/>
  <c r="C104" i="1"/>
  <c r="I103" i="1"/>
  <c r="H103" i="1"/>
  <c r="G103" i="1"/>
  <c r="F103" i="1"/>
  <c r="E103" i="1"/>
  <c r="D103" i="1"/>
  <c r="C103" i="1"/>
  <c r="I102" i="1"/>
  <c r="H102" i="1"/>
  <c r="G102" i="1"/>
  <c r="F102" i="1"/>
  <c r="E102" i="1"/>
  <c r="D102" i="1"/>
  <c r="C102" i="1"/>
  <c r="I101" i="1"/>
  <c r="H101" i="1"/>
  <c r="G101" i="1"/>
  <c r="F101" i="1"/>
  <c r="E101" i="1"/>
  <c r="D101" i="1"/>
  <c r="C101" i="1"/>
  <c r="I100" i="1"/>
  <c r="H100" i="1"/>
  <c r="G100" i="1"/>
  <c r="F100" i="1"/>
  <c r="E100" i="1"/>
  <c r="D100" i="1"/>
  <c r="C100" i="1"/>
  <c r="I99" i="1"/>
  <c r="H99" i="1"/>
  <c r="G99" i="1"/>
  <c r="F99" i="1"/>
  <c r="E99" i="1"/>
  <c r="D99" i="1"/>
  <c r="C99" i="1"/>
  <c r="I98" i="1"/>
  <c r="H98" i="1"/>
  <c r="G98" i="1"/>
  <c r="F98" i="1"/>
  <c r="E98" i="1"/>
  <c r="D98" i="1"/>
  <c r="C98" i="1"/>
  <c r="I97" i="1"/>
  <c r="H97" i="1"/>
  <c r="G97" i="1"/>
  <c r="F97" i="1"/>
  <c r="E97" i="1"/>
  <c r="D97" i="1"/>
  <c r="C97" i="1"/>
  <c r="I96" i="1"/>
  <c r="H96" i="1"/>
  <c r="G96" i="1"/>
  <c r="F96" i="1"/>
  <c r="E96" i="1"/>
  <c r="D96" i="1"/>
  <c r="C96" i="1"/>
  <c r="I95" i="1"/>
  <c r="H95" i="1"/>
  <c r="G95" i="1"/>
  <c r="F95" i="1"/>
  <c r="E95" i="1"/>
  <c r="D95" i="1"/>
  <c r="C95" i="1"/>
  <c r="I94" i="1"/>
  <c r="H94" i="1"/>
  <c r="G94" i="1"/>
  <c r="F94" i="1"/>
  <c r="E94" i="1"/>
  <c r="D94" i="1"/>
  <c r="C94" i="1"/>
  <c r="I93" i="1"/>
  <c r="H93" i="1"/>
  <c r="G93" i="1"/>
  <c r="F93" i="1"/>
  <c r="E93" i="1"/>
  <c r="D93" i="1"/>
  <c r="C93" i="1"/>
  <c r="I92" i="1"/>
  <c r="H92" i="1"/>
  <c r="G92" i="1"/>
  <c r="F92" i="1"/>
  <c r="E92" i="1"/>
  <c r="D92" i="1"/>
  <c r="C92" i="1"/>
  <c r="I91" i="1"/>
  <c r="H91" i="1"/>
  <c r="G91" i="1"/>
  <c r="F91" i="1"/>
  <c r="E91" i="1"/>
  <c r="D91" i="1"/>
  <c r="C91" i="1"/>
  <c r="I90" i="1"/>
  <c r="H90" i="1"/>
  <c r="G90" i="1"/>
  <c r="F90" i="1"/>
  <c r="E90" i="1"/>
  <c r="D90" i="1"/>
  <c r="C90" i="1"/>
  <c r="I89" i="1"/>
  <c r="H89" i="1"/>
  <c r="G89" i="1"/>
  <c r="F89" i="1"/>
  <c r="E89" i="1"/>
  <c r="D89" i="1"/>
  <c r="C89" i="1"/>
  <c r="I88" i="1"/>
  <c r="H88" i="1"/>
  <c r="G88" i="1"/>
  <c r="F88" i="1"/>
  <c r="E88" i="1"/>
  <c r="D88" i="1"/>
  <c r="C88" i="1"/>
  <c r="I87" i="1"/>
  <c r="H87" i="1"/>
  <c r="G87" i="1"/>
  <c r="F87" i="1"/>
  <c r="E87" i="1"/>
  <c r="D87" i="1"/>
  <c r="C87" i="1"/>
  <c r="I86" i="1"/>
  <c r="H86" i="1"/>
  <c r="G86" i="1"/>
  <c r="F86" i="1"/>
  <c r="E86" i="1"/>
  <c r="D86" i="1"/>
  <c r="C86" i="1"/>
  <c r="I85" i="1"/>
  <c r="H85" i="1"/>
  <c r="G85" i="1"/>
  <c r="F85" i="1"/>
  <c r="E85" i="1"/>
  <c r="D85" i="1"/>
  <c r="C85" i="1"/>
  <c r="I84" i="1"/>
  <c r="H84" i="1"/>
  <c r="G84" i="1"/>
  <c r="F84" i="1"/>
  <c r="E84" i="1"/>
  <c r="D84" i="1"/>
  <c r="C84" i="1"/>
  <c r="I83" i="1"/>
  <c r="H83" i="1"/>
  <c r="G83" i="1"/>
  <c r="F83" i="1"/>
  <c r="E83" i="1"/>
  <c r="D83" i="1"/>
  <c r="C83" i="1"/>
  <c r="I82" i="1"/>
  <c r="H82" i="1"/>
  <c r="G82" i="1"/>
  <c r="F82" i="1"/>
  <c r="E82" i="1"/>
  <c r="D82" i="1"/>
  <c r="C82" i="1"/>
  <c r="I81" i="1"/>
  <c r="H81" i="1"/>
  <c r="G81" i="1"/>
  <c r="F81" i="1"/>
  <c r="E81" i="1"/>
  <c r="D81" i="1"/>
  <c r="C81" i="1"/>
  <c r="I80" i="1"/>
  <c r="H80" i="1"/>
  <c r="G80" i="1"/>
  <c r="F80" i="1"/>
  <c r="E80" i="1"/>
  <c r="D80" i="1"/>
  <c r="C80" i="1"/>
  <c r="I79" i="1"/>
  <c r="H79" i="1"/>
  <c r="G79" i="1"/>
  <c r="F79" i="1"/>
  <c r="E79" i="1"/>
  <c r="D79" i="1"/>
  <c r="C79" i="1"/>
  <c r="I78" i="1"/>
  <c r="H78" i="1"/>
  <c r="G78" i="1"/>
  <c r="F78" i="1"/>
  <c r="E78" i="1"/>
  <c r="D78" i="1"/>
  <c r="C78" i="1"/>
  <c r="I77" i="1"/>
  <c r="H77" i="1"/>
  <c r="G77" i="1"/>
  <c r="F77" i="1"/>
  <c r="E77" i="1"/>
  <c r="D77" i="1"/>
  <c r="C77" i="1"/>
  <c r="I76" i="1"/>
  <c r="H76" i="1"/>
  <c r="G76" i="1"/>
  <c r="F76" i="1"/>
  <c r="E76" i="1"/>
  <c r="D76" i="1"/>
  <c r="C76" i="1"/>
  <c r="I75" i="1"/>
  <c r="H75" i="1"/>
  <c r="G75" i="1"/>
  <c r="F75" i="1"/>
  <c r="E75" i="1"/>
  <c r="D75" i="1"/>
  <c r="C75" i="1"/>
  <c r="I74" i="1"/>
  <c r="H74" i="1"/>
  <c r="G74" i="1"/>
  <c r="F74" i="1"/>
  <c r="E74" i="1"/>
  <c r="D74" i="1"/>
  <c r="C74" i="1"/>
  <c r="I73" i="1"/>
  <c r="H73" i="1"/>
  <c r="G73" i="1"/>
  <c r="F73" i="1"/>
  <c r="E73" i="1"/>
  <c r="D73" i="1"/>
  <c r="C73" i="1"/>
  <c r="I72" i="1"/>
  <c r="H72" i="1"/>
  <c r="G72" i="1"/>
  <c r="F72" i="1"/>
  <c r="E72" i="1"/>
  <c r="D72" i="1"/>
  <c r="C72" i="1"/>
  <c r="I71" i="1"/>
  <c r="H71" i="1"/>
  <c r="G71" i="1"/>
  <c r="F71" i="1"/>
  <c r="E71" i="1"/>
  <c r="D71" i="1"/>
  <c r="C71" i="1"/>
  <c r="I70" i="1"/>
  <c r="H70" i="1"/>
  <c r="G70" i="1"/>
  <c r="F70" i="1"/>
  <c r="E70" i="1"/>
  <c r="D70" i="1"/>
  <c r="C70" i="1"/>
  <c r="I69" i="1"/>
  <c r="H69" i="1"/>
  <c r="G69" i="1"/>
  <c r="F69" i="1"/>
  <c r="E69" i="1"/>
  <c r="D69" i="1"/>
  <c r="C69" i="1"/>
  <c r="I68" i="1"/>
  <c r="H68" i="1"/>
  <c r="G68" i="1"/>
  <c r="F68" i="1"/>
  <c r="E68" i="1"/>
  <c r="D68" i="1"/>
  <c r="C68" i="1"/>
  <c r="I67" i="1"/>
  <c r="H67" i="1"/>
  <c r="G67" i="1"/>
  <c r="F67" i="1"/>
  <c r="E67" i="1"/>
  <c r="D67" i="1"/>
  <c r="C67" i="1"/>
  <c r="I66" i="1"/>
  <c r="H66" i="1"/>
  <c r="G66" i="1"/>
  <c r="F66" i="1"/>
  <c r="E66" i="1"/>
  <c r="D66" i="1"/>
  <c r="C66" i="1"/>
  <c r="I65" i="1"/>
  <c r="H65" i="1"/>
  <c r="G65" i="1"/>
  <c r="F65" i="1"/>
  <c r="E65" i="1"/>
  <c r="D65" i="1"/>
  <c r="C65" i="1"/>
  <c r="I64" i="1"/>
  <c r="H64" i="1"/>
  <c r="G64" i="1"/>
  <c r="F64" i="1"/>
  <c r="E64" i="1"/>
  <c r="D64" i="1"/>
  <c r="C64" i="1"/>
  <c r="I63" i="1"/>
  <c r="H63" i="1"/>
  <c r="G63" i="1"/>
  <c r="F63" i="1"/>
  <c r="E63" i="1"/>
  <c r="D63" i="1"/>
  <c r="C63" i="1"/>
  <c r="I62" i="1"/>
  <c r="H62" i="1"/>
  <c r="G62" i="1"/>
  <c r="F62" i="1"/>
  <c r="E62" i="1"/>
  <c r="D62" i="1"/>
  <c r="C62" i="1"/>
  <c r="I61" i="1"/>
  <c r="H61" i="1"/>
  <c r="G61" i="1"/>
  <c r="F61" i="1"/>
  <c r="E61" i="1"/>
  <c r="D61" i="1"/>
  <c r="C61" i="1"/>
  <c r="I60" i="1"/>
  <c r="H60" i="1"/>
  <c r="G60" i="1"/>
  <c r="F60" i="1"/>
  <c r="E60" i="1"/>
  <c r="D60" i="1"/>
  <c r="C60" i="1"/>
  <c r="I59" i="1"/>
  <c r="H59" i="1"/>
  <c r="G59" i="1"/>
  <c r="F59" i="1"/>
  <c r="E59" i="1"/>
  <c r="D59" i="1"/>
  <c r="C59" i="1"/>
  <c r="I58" i="1"/>
  <c r="H58" i="1"/>
  <c r="G58" i="1"/>
  <c r="F58" i="1"/>
  <c r="E58" i="1"/>
  <c r="D58" i="1"/>
  <c r="C58" i="1"/>
  <c r="I57" i="1"/>
  <c r="H57" i="1"/>
  <c r="G57" i="1"/>
  <c r="F57" i="1"/>
  <c r="E57" i="1"/>
  <c r="D57" i="1"/>
  <c r="C57" i="1"/>
  <c r="I56" i="1"/>
  <c r="H56" i="1"/>
  <c r="G56" i="1"/>
  <c r="F56" i="1"/>
  <c r="E56" i="1"/>
  <c r="D56" i="1"/>
  <c r="C56" i="1"/>
  <c r="I55" i="1"/>
  <c r="H55" i="1"/>
  <c r="G55" i="1"/>
  <c r="F55" i="1"/>
  <c r="E55" i="1"/>
  <c r="D55" i="1"/>
  <c r="C55" i="1"/>
  <c r="I54" i="1"/>
  <c r="H54" i="1"/>
  <c r="G54" i="1"/>
  <c r="F54" i="1"/>
  <c r="E54" i="1"/>
  <c r="D54" i="1"/>
  <c r="C54" i="1"/>
  <c r="I53" i="1"/>
  <c r="H53" i="1"/>
  <c r="G53" i="1"/>
  <c r="F53" i="1"/>
  <c r="E53" i="1"/>
  <c r="D53" i="1"/>
  <c r="C53" i="1"/>
  <c r="I52" i="1"/>
  <c r="H52" i="1"/>
  <c r="G52" i="1"/>
  <c r="F52" i="1"/>
  <c r="E52" i="1"/>
  <c r="D52" i="1"/>
  <c r="C52" i="1"/>
  <c r="I51" i="1"/>
  <c r="H51" i="1"/>
  <c r="G51" i="1"/>
  <c r="F51" i="1"/>
  <c r="E51" i="1"/>
  <c r="D51" i="1"/>
  <c r="C51" i="1"/>
  <c r="I50" i="1"/>
  <c r="H50" i="1"/>
  <c r="G50" i="1"/>
  <c r="F50" i="1"/>
  <c r="E50" i="1"/>
  <c r="D50" i="1"/>
  <c r="C50" i="1"/>
  <c r="I49" i="1"/>
  <c r="H49" i="1"/>
  <c r="G49" i="1"/>
  <c r="F49" i="1"/>
  <c r="E49" i="1"/>
  <c r="D49" i="1"/>
  <c r="C49" i="1"/>
  <c r="I48" i="1"/>
  <c r="H48" i="1"/>
  <c r="G48" i="1"/>
  <c r="F48" i="1"/>
  <c r="E48" i="1"/>
  <c r="D48" i="1"/>
  <c r="C48" i="1"/>
  <c r="I47" i="1"/>
  <c r="H47" i="1"/>
  <c r="G47" i="1"/>
  <c r="F47" i="1"/>
  <c r="E47" i="1"/>
  <c r="D47" i="1"/>
  <c r="C47" i="1"/>
  <c r="I46" i="1"/>
  <c r="H46" i="1"/>
  <c r="G46" i="1"/>
  <c r="F46" i="1"/>
  <c r="E46" i="1"/>
  <c r="D46" i="1"/>
  <c r="C46" i="1"/>
  <c r="I45" i="1"/>
  <c r="H45" i="1"/>
  <c r="G45" i="1"/>
  <c r="F45" i="1"/>
  <c r="E45" i="1"/>
  <c r="D45" i="1"/>
  <c r="C45" i="1"/>
  <c r="I44" i="1"/>
  <c r="H44" i="1"/>
  <c r="G44" i="1"/>
  <c r="F44" i="1"/>
  <c r="E44" i="1"/>
  <c r="D44" i="1"/>
  <c r="C44" i="1"/>
  <c r="I43" i="1"/>
  <c r="H43" i="1"/>
  <c r="G43" i="1"/>
  <c r="F43" i="1"/>
  <c r="E43" i="1"/>
  <c r="D43" i="1"/>
  <c r="C43" i="1"/>
  <c r="I42" i="1"/>
  <c r="H42" i="1"/>
  <c r="G42" i="1"/>
  <c r="F42" i="1"/>
  <c r="E42" i="1"/>
  <c r="D42" i="1"/>
  <c r="C42" i="1"/>
  <c r="I41" i="1"/>
  <c r="H41" i="1"/>
  <c r="G41" i="1"/>
  <c r="F41" i="1"/>
  <c r="E41" i="1"/>
  <c r="D41" i="1"/>
  <c r="C41" i="1"/>
  <c r="I40" i="1"/>
  <c r="H40" i="1"/>
  <c r="G40" i="1"/>
  <c r="F40" i="1"/>
  <c r="E40" i="1"/>
  <c r="D40" i="1"/>
  <c r="C40" i="1"/>
  <c r="I39" i="1"/>
  <c r="H39" i="1"/>
  <c r="G39" i="1"/>
  <c r="F39" i="1"/>
  <c r="E39" i="1"/>
  <c r="D39" i="1"/>
  <c r="C39" i="1"/>
  <c r="I38" i="1"/>
  <c r="H38" i="1"/>
  <c r="G38" i="1"/>
  <c r="F38" i="1"/>
  <c r="E38" i="1"/>
  <c r="D38" i="1"/>
  <c r="C38" i="1"/>
  <c r="I37" i="1"/>
  <c r="H37" i="1"/>
  <c r="G37" i="1"/>
  <c r="F37" i="1"/>
  <c r="E37" i="1"/>
  <c r="D37" i="1"/>
  <c r="C37" i="1"/>
  <c r="I36" i="1"/>
  <c r="H36" i="1"/>
  <c r="G36" i="1"/>
  <c r="F36" i="1"/>
  <c r="E36" i="1"/>
  <c r="D36" i="1"/>
  <c r="C36" i="1"/>
  <c r="I35" i="1"/>
  <c r="H35" i="1"/>
  <c r="G35" i="1"/>
  <c r="F35" i="1"/>
  <c r="E35" i="1"/>
  <c r="D35" i="1"/>
  <c r="C35" i="1"/>
  <c r="I34" i="1"/>
  <c r="H34" i="1"/>
  <c r="G34" i="1"/>
  <c r="F34" i="1"/>
  <c r="E34" i="1"/>
  <c r="D34" i="1"/>
  <c r="C34" i="1"/>
  <c r="I33" i="1"/>
  <c r="H33" i="1"/>
  <c r="G33" i="1"/>
  <c r="F33" i="1"/>
  <c r="E33" i="1"/>
  <c r="D33" i="1"/>
  <c r="C33" i="1"/>
  <c r="I32" i="1"/>
  <c r="H32" i="1"/>
  <c r="G32" i="1"/>
  <c r="F32" i="1"/>
  <c r="E32" i="1"/>
  <c r="D32" i="1"/>
  <c r="C32" i="1"/>
  <c r="I31" i="1"/>
  <c r="H31" i="1"/>
  <c r="G31" i="1"/>
  <c r="F31" i="1"/>
  <c r="E31" i="1"/>
  <c r="D31" i="1"/>
  <c r="C31" i="1"/>
  <c r="I30" i="1"/>
  <c r="H30" i="1"/>
  <c r="G30" i="1"/>
  <c r="F30" i="1"/>
  <c r="E30" i="1"/>
  <c r="D30" i="1"/>
  <c r="C30" i="1"/>
  <c r="I29" i="1"/>
  <c r="H29" i="1"/>
  <c r="G29" i="1"/>
  <c r="F29" i="1"/>
  <c r="E29" i="1"/>
  <c r="D29" i="1"/>
  <c r="C29" i="1"/>
  <c r="I28" i="1"/>
  <c r="H28" i="1"/>
  <c r="G28" i="1"/>
  <c r="F28" i="1"/>
  <c r="E28" i="1"/>
  <c r="D28" i="1"/>
  <c r="C28" i="1"/>
  <c r="I27" i="1"/>
  <c r="H27" i="1"/>
  <c r="G27" i="1"/>
  <c r="F27" i="1"/>
  <c r="E27" i="1"/>
  <c r="D27" i="1"/>
  <c r="C27" i="1"/>
  <c r="I26" i="1"/>
  <c r="H26" i="1"/>
  <c r="G26" i="1"/>
  <c r="F26" i="1"/>
  <c r="E26" i="1"/>
  <c r="D26" i="1"/>
  <c r="C26" i="1"/>
  <c r="I25" i="1"/>
  <c r="H25" i="1"/>
  <c r="G25" i="1"/>
  <c r="F25" i="1"/>
  <c r="E25" i="1"/>
  <c r="D25" i="1"/>
  <c r="C25" i="1"/>
  <c r="I24" i="1"/>
  <c r="H24" i="1"/>
  <c r="G24" i="1"/>
  <c r="F24" i="1"/>
  <c r="E24" i="1"/>
  <c r="D24" i="1"/>
  <c r="C24" i="1"/>
  <c r="I23" i="1"/>
  <c r="H23" i="1"/>
  <c r="G23" i="1"/>
  <c r="F23" i="1"/>
  <c r="E23" i="1"/>
  <c r="D23" i="1"/>
  <c r="C23" i="1"/>
  <c r="I22" i="1"/>
  <c r="H22" i="1"/>
  <c r="G22" i="1"/>
  <c r="F22" i="1"/>
  <c r="E22" i="1"/>
  <c r="D22" i="1"/>
  <c r="C22" i="1"/>
  <c r="I21" i="1"/>
  <c r="H21" i="1"/>
  <c r="G21" i="1"/>
  <c r="F21" i="1"/>
  <c r="E21" i="1"/>
  <c r="D21" i="1"/>
  <c r="C21" i="1"/>
  <c r="I20" i="1"/>
  <c r="H20" i="1"/>
  <c r="G20" i="1"/>
  <c r="F20" i="1"/>
  <c r="E20" i="1"/>
  <c r="D20" i="1"/>
  <c r="C20" i="1"/>
  <c r="I19" i="1"/>
  <c r="H19" i="1"/>
  <c r="G19" i="1"/>
  <c r="F19" i="1"/>
  <c r="E19" i="1"/>
  <c r="D19" i="1"/>
  <c r="C19" i="1"/>
  <c r="I18" i="1"/>
  <c r="H18" i="1"/>
  <c r="G18" i="1"/>
  <c r="F18" i="1"/>
  <c r="E18" i="1"/>
  <c r="D18" i="1"/>
  <c r="C18" i="1"/>
  <c r="I17" i="1"/>
  <c r="H17" i="1"/>
  <c r="G17" i="1"/>
  <c r="F17" i="1"/>
  <c r="E17" i="1"/>
  <c r="D17" i="1"/>
  <c r="C17" i="1"/>
  <c r="I16" i="1"/>
  <c r="H16" i="1"/>
  <c r="G16" i="1"/>
  <c r="F16" i="1"/>
  <c r="E16" i="1"/>
  <c r="D16" i="1"/>
  <c r="C16" i="1"/>
  <c r="I15" i="1"/>
  <c r="H15" i="1"/>
  <c r="G15" i="1"/>
  <c r="F15" i="1"/>
  <c r="E15" i="1"/>
  <c r="D15" i="1"/>
  <c r="C15" i="1"/>
  <c r="I14" i="1"/>
  <c r="H14" i="1"/>
  <c r="G14" i="1"/>
  <c r="F14" i="1"/>
  <c r="E14" i="1"/>
  <c r="D14" i="1"/>
  <c r="C14" i="1"/>
  <c r="I13" i="1"/>
  <c r="H13" i="1"/>
  <c r="G13" i="1"/>
  <c r="F13" i="1"/>
  <c r="E13" i="1"/>
  <c r="D13" i="1"/>
  <c r="C13" i="1"/>
  <c r="I12" i="1"/>
  <c r="H12" i="1"/>
  <c r="G12" i="1"/>
  <c r="F12" i="1"/>
  <c r="E12" i="1"/>
  <c r="D12" i="1"/>
  <c r="C12" i="1"/>
  <c r="I11" i="1"/>
  <c r="H11" i="1"/>
  <c r="G11" i="1"/>
  <c r="F11" i="1"/>
  <c r="E11" i="1"/>
  <c r="D11" i="1"/>
  <c r="C11" i="1"/>
  <c r="I10" i="1"/>
  <c r="H10" i="1"/>
  <c r="G10" i="1"/>
  <c r="F10" i="1"/>
  <c r="E10" i="1"/>
  <c r="D10" i="1"/>
  <c r="C10" i="1"/>
  <c r="I9" i="1"/>
  <c r="H9" i="1"/>
  <c r="G9" i="1"/>
  <c r="F9" i="1"/>
  <c r="E9" i="1"/>
  <c r="D9" i="1"/>
  <c r="C9" i="1"/>
  <c r="I8" i="1"/>
  <c r="H8" i="1"/>
  <c r="G8" i="1"/>
  <c r="F8" i="1"/>
  <c r="E8" i="1"/>
  <c r="D8" i="1"/>
  <c r="C8" i="1"/>
  <c r="I7" i="1"/>
  <c r="H7" i="1"/>
  <c r="G7" i="1"/>
  <c r="F7" i="1"/>
  <c r="E7" i="1"/>
  <c r="D7" i="1"/>
  <c r="C7" i="1"/>
  <c r="I6" i="1"/>
  <c r="H6" i="1"/>
  <c r="G6" i="1"/>
  <c r="F6" i="1"/>
  <c r="E6" i="1"/>
  <c r="D6" i="1"/>
  <c r="C6" i="1"/>
  <c r="I5" i="1"/>
  <c r="H5" i="1"/>
  <c r="G5" i="1"/>
  <c r="F5" i="1"/>
  <c r="E5" i="1"/>
  <c r="D5" i="1"/>
  <c r="C5" i="1"/>
  <c r="I4" i="1"/>
  <c r="H4" i="1"/>
  <c r="G4" i="1"/>
  <c r="F4" i="1"/>
  <c r="E4" i="1"/>
  <c r="D4" i="1"/>
  <c r="C4" i="1"/>
  <c r="I3" i="1"/>
  <c r="H3" i="1"/>
  <c r="G3" i="1"/>
  <c r="F3" i="1"/>
  <c r="E3" i="1"/>
  <c r="D3" i="1"/>
  <c r="C3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<sst xmlns="http://schemas.openxmlformats.org/spreadsheetml/2006/main" count="1896" uniqueCount="1406">
  <si>
    <t>Storm Year</t>
  </si>
  <si>
    <t>HURDAT Code</t>
  </si>
  <si>
    <t>HURDAT Name</t>
  </si>
  <si>
    <t>Max Category</t>
  </si>
  <si>
    <t>Max Windspeed</t>
  </si>
  <si>
    <t>Min Pressure</t>
  </si>
  <si>
    <t>Max LF Category</t>
  </si>
  <si>
    <t>Max LF Windspeed</t>
  </si>
  <si>
    <t>Min LF Pressure</t>
  </si>
  <si>
    <t>Source Link</t>
  </si>
  <si>
    <t>Direct Deaths CONUS</t>
  </si>
  <si>
    <t>surge</t>
  </si>
  <si>
    <t>surge_location</t>
  </si>
  <si>
    <t>surf</t>
  </si>
  <si>
    <t>surf_location</t>
  </si>
  <si>
    <t>rough_seas</t>
  </si>
  <si>
    <t>rough_seas_location</t>
  </si>
  <si>
    <t>rip_current</t>
  </si>
  <si>
    <t>rip_current_location</t>
  </si>
  <si>
    <t>freshwater_floods</t>
  </si>
  <si>
    <t>freshwater_floods_location</t>
  </si>
  <si>
    <t>wind</t>
  </si>
  <si>
    <t>wind_location</t>
  </si>
  <si>
    <t>tree_fall</t>
  </si>
  <si>
    <t>tree_fall_location</t>
  </si>
  <si>
    <t>tornado</t>
  </si>
  <si>
    <t>tornado_location</t>
  </si>
  <si>
    <t>lightning</t>
  </si>
  <si>
    <t>lightning_location</t>
  </si>
  <si>
    <t>unknown</t>
  </si>
  <si>
    <t>unknown_location</t>
  </si>
  <si>
    <t>AL011963</t>
  </si>
  <si>
    <t>ARLENE</t>
  </si>
  <si>
    <t>https://www.nhc.noaa.gov/data/mwreview/1963.pdf</t>
  </si>
  <si>
    <t>AL021963</t>
  </si>
  <si>
    <t>AL041963</t>
  </si>
  <si>
    <t xml:space="preserve">https://www.nhc.noaa.gov/data/mwreview/1963.pdf </t>
  </si>
  <si>
    <t>LA</t>
  </si>
  <si>
    <t>TX</t>
  </si>
  <si>
    <t>AL051963</t>
  </si>
  <si>
    <t>AL061963</t>
  </si>
  <si>
    <t>AL071963</t>
  </si>
  <si>
    <t>NA</t>
  </si>
  <si>
    <t>AL081963</t>
  </si>
  <si>
    <t>AL091963</t>
  </si>
  <si>
    <t>AL031964</t>
  </si>
  <si>
    <t>AL041964</t>
  </si>
  <si>
    <t>AL051964</t>
  </si>
  <si>
    <t xml:space="preserve">https://www.nhc.noaa.gov/data/mwreview/1964.pdf </t>
  </si>
  <si>
    <t>AL061964</t>
  </si>
  <si>
    <t>https://www.nhc.noaa.gov/data/mwreview/1964.pdf</t>
  </si>
  <si>
    <t>FL</t>
  </si>
  <si>
    <t>AL071964</t>
  </si>
  <si>
    <t>AL081964</t>
  </si>
  <si>
    <t>AL091964</t>
  </si>
  <si>
    <t>AL101964</t>
  </si>
  <si>
    <t>AL111964</t>
  </si>
  <si>
    <t>AL021965</t>
  </si>
  <si>
    <t xml:space="preserve">https://www.nhc.noaa.gov/data/mwreview/1965.pdf </t>
  </si>
  <si>
    <t>AL031965</t>
  </si>
  <si>
    <t>https://lsu.ent.sirsi.net/client/en_US/lsu/search/detailnonmodal/ent:$002f$002fSD_LSU$002f0$002fSD_LSU:3472537/one</t>
  </si>
  <si>
    <t>AL041965</t>
  </si>
  <si>
    <t>AL051965</t>
  </si>
  <si>
    <t>https://www.nhc.noaa.gov/data/mwreview/1965.pdf</t>
  </si>
  <si>
    <t>AL061965</t>
  </si>
  <si>
    <t>AL011966</t>
  </si>
  <si>
    <t xml:space="preserve">https://www.nhc.noaa.gov/data/mwreview/1966.pdf </t>
  </si>
  <si>
    <t>AL021966</t>
  </si>
  <si>
    <t>AL031966</t>
  </si>
  <si>
    <t>AL041966</t>
  </si>
  <si>
    <t>AL051966</t>
  </si>
  <si>
    <t>AL061966</t>
  </si>
  <si>
    <t>AL071966</t>
  </si>
  <si>
    <t>AL081966</t>
  </si>
  <si>
    <t>AL091966</t>
  </si>
  <si>
    <t>AL101966</t>
  </si>
  <si>
    <t>AL111966</t>
  </si>
  <si>
    <t>AL151966</t>
  </si>
  <si>
    <t>AL111967</t>
  </si>
  <si>
    <t xml:space="preserve">https://www.nhc.noaa.gov/data/mwreview/1967.pdf </t>
  </si>
  <si>
    <t>AL121967</t>
  </si>
  <si>
    <t>AL131967</t>
  </si>
  <si>
    <t>https://www.wpc.ncep.noaa.gov/research/txhur.pdf</t>
  </si>
  <si>
    <t>AL141967</t>
  </si>
  <si>
    <t>NJ</t>
  </si>
  <si>
    <t>AL181967</t>
  </si>
  <si>
    <t>AL191967</t>
  </si>
  <si>
    <t>AL211967</t>
  </si>
  <si>
    <t>AL251967</t>
  </si>
  <si>
    <t>AL011968</t>
  </si>
  <si>
    <t xml:space="preserve">https://www.aoml.noaa.gov/general/lib/lib1/nhclib/mwreviews/1968.pdf </t>
  </si>
  <si>
    <t>AL021968</t>
  </si>
  <si>
    <t>AL031968</t>
  </si>
  <si>
    <t>AL051968</t>
  </si>
  <si>
    <t>AL081968</t>
  </si>
  <si>
    <t>AL121968</t>
  </si>
  <si>
    <t>AL141968</t>
  </si>
  <si>
    <t>AL061969</t>
  </si>
  <si>
    <t>https://www.nhc.noaa.gov/data/mwreview/1969.pdf</t>
  </si>
  <si>
    <t>AL071969</t>
  </si>
  <si>
    <t>AL081969</t>
  </si>
  <si>
    <t>AL091969</t>
  </si>
  <si>
    <t xml:space="preserve">https://journals.ametsoc.org/view/journals/bams/97/7/bams-d-15-00042.1.xml#:~:text=Rappaport%20(2014)%2C%20henceforth%20R14,deaths%20occurred%20during%20that%20period. </t>
  </si>
  <si>
    <t>MS</t>
  </si>
  <si>
    <t>VA</t>
  </si>
  <si>
    <t>AL121969</t>
  </si>
  <si>
    <t xml:space="preserve">https://www.nhc.noaa.gov/data/mwreview/1969.pdf </t>
  </si>
  <si>
    <t>AL131969</t>
  </si>
  <si>
    <t>AL161969</t>
  </si>
  <si>
    <t>AL171969</t>
  </si>
  <si>
    <t>AL201969</t>
  </si>
  <si>
    <t>AL241969</t>
  </si>
  <si>
    <t>AL251969</t>
  </si>
  <si>
    <t>AL261969</t>
  </si>
  <si>
    <t>AL291969</t>
  </si>
  <si>
    <t>AL011970</t>
  </si>
  <si>
    <t xml:space="preserve">https://www.nhc.noaa.gov/data/mwreview/1970.pdf </t>
  </si>
  <si>
    <t>AL021970</t>
  </si>
  <si>
    <t>https://www.nhc.noaa.gov/data/mwreview/1970.pdf</t>
  </si>
  <si>
    <t>AL041970</t>
  </si>
  <si>
    <t xml:space="preserve">https://journals.ametsoc.org/view/journals/bams/81/9/1520-0477_2000_081_2065_lolitu_2_3_co_2.xml?tab_body=pdF </t>
  </si>
  <si>
    <t>AL091970</t>
  </si>
  <si>
    <t>AL121970</t>
  </si>
  <si>
    <t>AL131970</t>
  </si>
  <si>
    <t>AL161970</t>
  </si>
  <si>
    <t>AL011971</t>
  </si>
  <si>
    <t xml:space="preserve">https://www.nhc.noaa.gov/data/mwreview/1971.pdf </t>
  </si>
  <si>
    <t>AL061971</t>
  </si>
  <si>
    <t>AL081971</t>
  </si>
  <si>
    <t>AL091971</t>
  </si>
  <si>
    <t>AL111971</t>
  </si>
  <si>
    <t>https://www.nhc.noaa.gov/data/mwreview/1971.pdf</t>
  </si>
  <si>
    <t>AL131971</t>
  </si>
  <si>
    <t>AL141971</t>
  </si>
  <si>
    <t>AL171971</t>
  </si>
  <si>
    <t>AL181971</t>
  </si>
  <si>
    <t>AL191971</t>
  </si>
  <si>
    <t>AL211971</t>
  </si>
  <si>
    <t>AL221971</t>
  </si>
  <si>
    <t>AL011972</t>
  </si>
  <si>
    <t>AL021972</t>
  </si>
  <si>
    <t>https://journals.ametsoc.org/view/journals/bams/81/9/1520-0477_2000_081_2065_lolitu_2_3_co_2.pdf</t>
  </si>
  <si>
    <t>AL101972</t>
  </si>
  <si>
    <t>https://www.nhc.noaa.gov/data/mwreview/1972.pdf</t>
  </si>
  <si>
    <t>AL111972</t>
  </si>
  <si>
    <t xml:space="preserve">https://www.nhc.noaa.gov/data/mwreview/1972.pdf </t>
  </si>
  <si>
    <t>AL131972</t>
  </si>
  <si>
    <t>AL141972</t>
  </si>
  <si>
    <t>AL191972</t>
  </si>
  <si>
    <t>AL041973</t>
  </si>
  <si>
    <t xml:space="preserve">https://www.nhc.noaa.gov/data/mwreview/1973.pdf </t>
  </si>
  <si>
    <t>AL061973</t>
  </si>
  <si>
    <t>AL081973</t>
  </si>
  <si>
    <t>AL091973</t>
  </si>
  <si>
    <t>AL101973</t>
  </si>
  <si>
    <t>AL121973</t>
  </si>
  <si>
    <t>AL141973</t>
  </si>
  <si>
    <t>AL161973</t>
  </si>
  <si>
    <t>AL071974</t>
  </si>
  <si>
    <t xml:space="preserve">https://www.nhc.noaa.gov/data/mwreview/1974.pdf </t>
  </si>
  <si>
    <t>AL091974</t>
  </si>
  <si>
    <t>https://www.nhc.noaa.gov/data/mwreview/1974.pdf</t>
  </si>
  <si>
    <t>AL101974</t>
  </si>
  <si>
    <t>AL121974</t>
  </si>
  <si>
    <t>AL131974</t>
  </si>
  <si>
    <t>AL141974</t>
  </si>
  <si>
    <t>AL171974</t>
  </si>
  <si>
    <t>AL021975</t>
  </si>
  <si>
    <t xml:space="preserve">https://www.nhc.noaa.gov/data/mwreview/1975.pdf </t>
  </si>
  <si>
    <t>AL041975</t>
  </si>
  <si>
    <t>https://www.nhc.noaa.gov/data/mwreview/1975.pdf</t>
  </si>
  <si>
    <t>AL071975</t>
  </si>
  <si>
    <t>AL081975</t>
  </si>
  <si>
    <t>AL131975</t>
  </si>
  <si>
    <t>AL141975</t>
  </si>
  <si>
    <t>AL151975</t>
  </si>
  <si>
    <t>AL191975</t>
  </si>
  <si>
    <t>AL061976</t>
  </si>
  <si>
    <t xml:space="preserve">https://www.nhc.noaa.gov/data/mwreview/1976.pdf </t>
  </si>
  <si>
    <t>AL071976</t>
  </si>
  <si>
    <t>https://www.nhc.noaa.gov/data/mwreview/1976.pdf</t>
  </si>
  <si>
    <t>VT</t>
  </si>
  <si>
    <t>NY</t>
  </si>
  <si>
    <t>AL081976</t>
  </si>
  <si>
    <t>AL091976</t>
  </si>
  <si>
    <t>AL101976</t>
  </si>
  <si>
    <t>AL111976</t>
  </si>
  <si>
    <t>AL171976</t>
  </si>
  <si>
    <t>AL211976</t>
  </si>
  <si>
    <t>AL051977</t>
  </si>
  <si>
    <t>https://www.nhc.noaa.gov/data/mwreview/1977.pdf</t>
  </si>
  <si>
    <t>AL061977</t>
  </si>
  <si>
    <t>AL071977</t>
  </si>
  <si>
    <t>AL101977</t>
  </si>
  <si>
    <t>AL131977</t>
  </si>
  <si>
    <t>AL141977</t>
  </si>
  <si>
    <t xml:space="preserve">https://www.nhc.noaa.gov/data/mwreview/1977.pdf </t>
  </si>
  <si>
    <t>AL041978</t>
  </si>
  <si>
    <t xml:space="preserve">https://www.nhc.noaa.gov/data/mwreview/1978.pdf  </t>
  </si>
  <si>
    <t>AL051978</t>
  </si>
  <si>
    <t>https://www.nhc.noaa.gov/data/mwreview/1978.pdf</t>
  </si>
  <si>
    <t>AL061978</t>
  </si>
  <si>
    <t>AL091978</t>
  </si>
  <si>
    <t>AL101978</t>
  </si>
  <si>
    <t>AL131978</t>
  </si>
  <si>
    <t>AL151978</t>
  </si>
  <si>
    <t>AL161978</t>
  </si>
  <si>
    <t>AL191978</t>
  </si>
  <si>
    <t>AL201978</t>
  </si>
  <si>
    <t>AL231978</t>
  </si>
  <si>
    <t>AL021979</t>
  </si>
  <si>
    <t xml:space="preserve">https://www.nhc.noaa.gov/data/mwreview/1979.pdf </t>
  </si>
  <si>
    <t>AL041979</t>
  </si>
  <si>
    <t>https://www.nhc.noaa.gov/data/mwreview/1979.pdf</t>
  </si>
  <si>
    <t>AL061979</t>
  </si>
  <si>
    <t>AL091979</t>
  </si>
  <si>
    <t>AL111979</t>
  </si>
  <si>
    <t>AL121979</t>
  </si>
  <si>
    <t>AL141979</t>
  </si>
  <si>
    <t>AL151979</t>
  </si>
  <si>
    <t>AL021980</t>
  </si>
  <si>
    <t xml:space="preserve">https://www.nhc.noaa.gov/data/mwreview/1980.pdf </t>
  </si>
  <si>
    <t>AL061980</t>
  </si>
  <si>
    <t>https://www.nhc.noaa.gov/data/mwreview/1980.pdf</t>
  </si>
  <si>
    <t>AL071980</t>
  </si>
  <si>
    <t>AL091980</t>
  </si>
  <si>
    <t>AL101980</t>
  </si>
  <si>
    <t>AL111980</t>
  </si>
  <si>
    <t>AL121980</t>
  </si>
  <si>
    <t>AL131980</t>
  </si>
  <si>
    <t>AL141980</t>
  </si>
  <si>
    <t>AL161980</t>
  </si>
  <si>
    <t>AL181980</t>
  </si>
  <si>
    <t>AL031981</t>
  </si>
  <si>
    <t xml:space="preserve">https://www.nhc.noaa.gov/data/mwreview/1981.pdf </t>
  </si>
  <si>
    <t>AL061981</t>
  </si>
  <si>
    <t>https://www.nhc.noaa.gov/data/mwreview/1981.pdf</t>
  </si>
  <si>
    <t>AL091981</t>
  </si>
  <si>
    <t>AL101981</t>
  </si>
  <si>
    <t>AL131981</t>
  </si>
  <si>
    <t>AL141981</t>
  </si>
  <si>
    <t>AL151981</t>
  </si>
  <si>
    <t>AL161981</t>
  </si>
  <si>
    <t>AL181981</t>
  </si>
  <si>
    <t>AL201981</t>
  </si>
  <si>
    <t>AL211981</t>
  </si>
  <si>
    <t>AL011982</t>
  </si>
  <si>
    <t xml:space="preserve">https://www.nhc.noaa.gov/data/mwreview/1982.pdf </t>
  </si>
  <si>
    <t>AL021982</t>
  </si>
  <si>
    <t>https://www.nhc.noaa.gov/data/mwreview/1982.pdf</t>
  </si>
  <si>
    <t>AL031982</t>
  </si>
  <si>
    <t>AL051982</t>
  </si>
  <si>
    <t>AL061982</t>
  </si>
  <si>
    <t>AL081982</t>
  </si>
  <si>
    <t>AL031983</t>
  </si>
  <si>
    <t xml:space="preserve">https://journals.ametsoc.org/view/journals/bams/81/9/1520-0477_2000_081_2065_lolitu_2_3_co_2.xml?tab_body=pdf </t>
  </si>
  <si>
    <t>AL041983</t>
  </si>
  <si>
    <t xml:space="preserve">https://www.nhc.noaa.gov/data/mwreview/1983.pdf </t>
  </si>
  <si>
    <t>AL051983</t>
  </si>
  <si>
    <t>https://www.nhc.noaa.gov/data/mwreview/1983.pdf</t>
  </si>
  <si>
    <t>AL061983</t>
  </si>
  <si>
    <t>AL061984</t>
  </si>
  <si>
    <t xml:space="preserve">https://www.nhc.noaa.gov/data/mwreview/1984.pdf </t>
  </si>
  <si>
    <t>AL071984</t>
  </si>
  <si>
    <t>https://www.nhc.noaa.gov/data/mwreview/1984.pdf</t>
  </si>
  <si>
    <t>AL081984</t>
  </si>
  <si>
    <t>AL101984</t>
  </si>
  <si>
    <t>AL111984</t>
  </si>
  <si>
    <t>AL121984</t>
  </si>
  <si>
    <t>AL131984</t>
  </si>
  <si>
    <t>AL141984</t>
  </si>
  <si>
    <t>AL151984</t>
  </si>
  <si>
    <t>AL161984</t>
  </si>
  <si>
    <t>AL181984</t>
  </si>
  <si>
    <t>AL201984</t>
  </si>
  <si>
    <t>AL011985</t>
  </si>
  <si>
    <t>https://www.nhc.noaa.gov/data/mwreview/1985.pdf</t>
  </si>
  <si>
    <t>AL021985</t>
  </si>
  <si>
    <t>AL031985</t>
  </si>
  <si>
    <t>AL041985</t>
  </si>
  <si>
    <t>AL051985</t>
  </si>
  <si>
    <t>AL081985</t>
  </si>
  <si>
    <t>AL091985</t>
  </si>
  <si>
    <t xml:space="preserve">https://www.nhc.noaa.gov/data/mwreview/1985.pdf </t>
  </si>
  <si>
    <t>AL101985</t>
  </si>
  <si>
    <t>AL111985</t>
  </si>
  <si>
    <t>AL121985</t>
  </si>
  <si>
    <t>AL131985</t>
  </si>
  <si>
    <t>AL011986</t>
  </si>
  <si>
    <t xml:space="preserve">https://www.nhc.noaa.gov/data/mwreview/1986.pdf </t>
  </si>
  <si>
    <t>NC</t>
  </si>
  <si>
    <t>AL021986</t>
  </si>
  <si>
    <t>https://www.nhc.noaa.gov/data/mwreview/1986.pdf</t>
  </si>
  <si>
    <t>AL051986</t>
  </si>
  <si>
    <t>AL081986</t>
  </si>
  <si>
    <t>AL091986</t>
  </si>
  <si>
    <t>AL101986</t>
  </si>
  <si>
    <t>AL021987</t>
  </si>
  <si>
    <t xml:space="preserve">https://www.nhc.noaa.gov/data/mwreview/1987.pdf </t>
  </si>
  <si>
    <t>AL051987</t>
  </si>
  <si>
    <t>https://www.nhc.noaa.gov/data/mwreview/1987.pdf</t>
  </si>
  <si>
    <t>AL071987</t>
  </si>
  <si>
    <t>AL101987</t>
  </si>
  <si>
    <t>AL121987</t>
  </si>
  <si>
    <t>AL131987</t>
  </si>
  <si>
    <t>AL011988</t>
  </si>
  <si>
    <t>https://www.nhc.noaa.gov/data/mwreview/1988.pdf</t>
  </si>
  <si>
    <t>AL021988</t>
  </si>
  <si>
    <t>AL</t>
  </si>
  <si>
    <t>AL031988</t>
  </si>
  <si>
    <t>SC</t>
  </si>
  <si>
    <t>AL041988</t>
  </si>
  <si>
    <t>AL051988</t>
  </si>
  <si>
    <t>AL071988</t>
  </si>
  <si>
    <t>AL081988</t>
  </si>
  <si>
    <t>AL091988</t>
  </si>
  <si>
    <t>AL101988</t>
  </si>
  <si>
    <t>AL111988</t>
  </si>
  <si>
    <t>AL121988</t>
  </si>
  <si>
    <t>AL021989</t>
  </si>
  <si>
    <t>https://www.nhc.noaa.gov/data/mwreview/1989.pdf</t>
  </si>
  <si>
    <t>AL031989</t>
  </si>
  <si>
    <t xml:space="preserve">https://www.nhc.noaa.gov/data/mwreview/1989.pdf </t>
  </si>
  <si>
    <t>AL041989</t>
  </si>
  <si>
    <t>AL051989</t>
  </si>
  <si>
    <t>AL071989</t>
  </si>
  <si>
    <t>AL081989</t>
  </si>
  <si>
    <t>AL101989</t>
  </si>
  <si>
    <t>AL111989</t>
  </si>
  <si>
    <t>AL121989</t>
  </si>
  <si>
    <t>AL141989</t>
  </si>
  <si>
    <t>AL151989</t>
  </si>
  <si>
    <t>AL021990</t>
  </si>
  <si>
    <t xml:space="preserve">https://www.nhc.noaa.gov/data/mwreview/1990.pdf </t>
  </si>
  <si>
    <t>AL031990</t>
  </si>
  <si>
    <t>AL041990</t>
  </si>
  <si>
    <t>AL051990</t>
  </si>
  <si>
    <t>AL061990</t>
  </si>
  <si>
    <t>AL071990</t>
  </si>
  <si>
    <t>AL081990</t>
  </si>
  <si>
    <t>AL091990</t>
  </si>
  <si>
    <t>AL101990</t>
  </si>
  <si>
    <t>AL121990</t>
  </si>
  <si>
    <t>AL131990</t>
  </si>
  <si>
    <t>AL141990</t>
  </si>
  <si>
    <r>
      <rPr>
        <u/>
        <sz val="10"/>
        <color rgb="FF1155CC"/>
        <rFont val="Arial"/>
        <family val="2"/>
      </rPr>
      <t>https://www.nhc.noaa.gov/data/mwreview/1990.pdf</t>
    </r>
    <r>
      <rPr>
        <sz val="10"/>
        <color rgb="FF000000"/>
        <rFont val="Arial"/>
        <family val="2"/>
      </rPr>
      <t xml:space="preserve"> </t>
    </r>
  </si>
  <si>
    <t>AL151990</t>
  </si>
  <si>
    <t>AL161990</t>
  </si>
  <si>
    <t>AL011991</t>
  </si>
  <si>
    <t>https://www.nhc.noaa.gov/data/mwreview/1991.pdf</t>
  </si>
  <si>
    <t>AL031991</t>
  </si>
  <si>
    <t>AL061991</t>
  </si>
  <si>
    <t>AL071991</t>
  </si>
  <si>
    <t>AL081991</t>
  </si>
  <si>
    <t>AL091991</t>
  </si>
  <si>
    <t>AL111991</t>
  </si>
  <si>
    <t>AL041992</t>
  </si>
  <si>
    <t xml:space="preserve">REFERENCE: Lew, E. O. and Wetli, C. V., "Mortality from Hurricane Andrew," Journal of Forensic Sciences, JFSCA, Vol. 41, No. 3, May 1996, pp. 449-452. </t>
  </si>
  <si>
    <t>6 LA, 3 FL</t>
  </si>
  <si>
    <t>AL051992</t>
  </si>
  <si>
    <t>https://www.nhc.noaa.gov/data/mwreview/1992.pdf</t>
  </si>
  <si>
    <t>AL061992</t>
  </si>
  <si>
    <t>AL071992</t>
  </si>
  <si>
    <t>AL091992</t>
  </si>
  <si>
    <t>AL101992</t>
  </si>
  <si>
    <t>AL021993</t>
  </si>
  <si>
    <t xml:space="preserve">https://www.nhc.noaa.gov/data/mwreview/1993.pdf </t>
  </si>
  <si>
    <t>AL031993</t>
  </si>
  <si>
    <t>https://www.nhc.noaa.gov/data/mwreview/1993.pdf</t>
  </si>
  <si>
    <t>AL041993</t>
  </si>
  <si>
    <t>AL051993</t>
  </si>
  <si>
    <t>2 NC, 1 VA</t>
  </si>
  <si>
    <t>AL061993</t>
  </si>
  <si>
    <t>AL071993</t>
  </si>
  <si>
    <t>AL081993</t>
  </si>
  <si>
    <t>AL091993</t>
  </si>
  <si>
    <t>AL011994</t>
  </si>
  <si>
    <t>https://www.nhc.noaa.gov/data/mwreview/1994.pdf</t>
  </si>
  <si>
    <t>28 GA, 2 AL</t>
  </si>
  <si>
    <t>AL031994</t>
  </si>
  <si>
    <t>AL041994</t>
  </si>
  <si>
    <t>AL061994</t>
  </si>
  <si>
    <t>AL071994</t>
  </si>
  <si>
    <t>AL111994</t>
  </si>
  <si>
    <t>AL121994</t>
  </si>
  <si>
    <t>AL011995</t>
  </si>
  <si>
    <t>https://www.nhc.noaa.gov/data/mwreview/1995.pdf</t>
  </si>
  <si>
    <t>AL021995</t>
  </si>
  <si>
    <t>AL031995</t>
  </si>
  <si>
    <t>AL041995</t>
  </si>
  <si>
    <t>AL051995</t>
  </si>
  <si>
    <t xml:space="preserve">https://www.nhc.noaa.gov/data/tcr/AL051995_Erin.pdf </t>
  </si>
  <si>
    <t>AL071995</t>
  </si>
  <si>
    <t xml:space="preserve">https://www.nhc.noaa.gov/data/mwreview/1995.pdf </t>
  </si>
  <si>
    <t>5 NJ, 3 NC</t>
  </si>
  <si>
    <t>AL081995</t>
  </si>
  <si>
    <t>AL091995</t>
  </si>
  <si>
    <t>AL101995</t>
  </si>
  <si>
    <t>AL111995</t>
  </si>
  <si>
    <t xml:space="preserve">https://www.nhc.noaa.gov/data/tcr/AL111995_Jerry.pdf </t>
  </si>
  <si>
    <t>3 SC, 1 NC</t>
  </si>
  <si>
    <t>AL121995</t>
  </si>
  <si>
    <t>AL131995</t>
  </si>
  <si>
    <t>AL151995</t>
  </si>
  <si>
    <t>AL161995</t>
  </si>
  <si>
    <t>AL171995</t>
  </si>
  <si>
    <t>https://www.nhc.noaa.gov/data/tcr/AL171995_Opal.pdf</t>
  </si>
  <si>
    <t>AL181995</t>
  </si>
  <si>
    <t>AL191995</t>
  </si>
  <si>
    <t>AL201995</t>
  </si>
  <si>
    <t>AL211995</t>
  </si>
  <si>
    <t>AL011996</t>
  </si>
  <si>
    <t>https://www.nhc.noaa.gov/data/tcr/AL011996_Arthur.pdf</t>
  </si>
  <si>
    <t>AL021996</t>
  </si>
  <si>
    <t xml:space="preserve">https://www.nhc.noaa.gov/data/tcr/AL021996_Bertha.pdf </t>
  </si>
  <si>
    <t>3 FL, 1 NC</t>
  </si>
  <si>
    <t>AL031996</t>
  </si>
  <si>
    <t>https://www.nhc.noaa.gov/data/tcr/AL031996_Cesar.pdf</t>
  </si>
  <si>
    <t>AL041996</t>
  </si>
  <si>
    <t>https://www.nhc.noaa.gov/data/tcr/AL041996_Dolly.pdf</t>
  </si>
  <si>
    <t>AL051996</t>
  </si>
  <si>
    <t>https://www.nhc.noaa.gov/data/tcr/AL051996_Edouard.pdf</t>
  </si>
  <si>
    <t>AL061996</t>
  </si>
  <si>
    <t xml:space="preserve">https://journals.ametsoc.org/view/journals/bams/81/9/1520-0477_2000_081_2065_lolitu_2_3_co_2.xml?tab_body=pdf  </t>
  </si>
  <si>
    <t>AL071996</t>
  </si>
  <si>
    <t>https://www.nhc.noaa.gov/data/tcr/AL071996_Gustav.pdf</t>
  </si>
  <si>
    <t>AL081996</t>
  </si>
  <si>
    <t>https://www.nhc.noaa.gov/data/tcr/AL081996_Hortense.pdf</t>
  </si>
  <si>
    <t>AL091996</t>
  </si>
  <si>
    <t>https://www.nhc.noaa.gov/data/tcr/AL091996_Isidore.pdf</t>
  </si>
  <si>
    <t>AL101996</t>
  </si>
  <si>
    <t xml:space="preserve">https://www.nhc.noaa.gov/data/tcr/AL101996_Josephine.pdf </t>
  </si>
  <si>
    <t>AL111996</t>
  </si>
  <si>
    <t>https://www.nhc.noaa.gov/data/tcr/AL111996_Kyle.pdf</t>
  </si>
  <si>
    <t>AL121996</t>
  </si>
  <si>
    <t>https://www.nhc.noaa.gov/data/tcr/AL121996_Lili.pdf</t>
  </si>
  <si>
    <t>AL131996</t>
  </si>
  <si>
    <t>https://www.nhc.noaa.gov/data/tcr/AL131996_Marco.pdf</t>
  </si>
  <si>
    <t>AL021997</t>
  </si>
  <si>
    <t>https://www.nhc.noaa.gov/data/tcr/AL021997_Ana.pdf</t>
  </si>
  <si>
    <t>AL031997</t>
  </si>
  <si>
    <t>https://www.nhc.noaa.gov/data/tcr/AL031997_Bill.pdf</t>
  </si>
  <si>
    <t>AL041997</t>
  </si>
  <si>
    <t>https://www.nhc.noaa.gov/data/tcr/AL041997_Claudette.pdf</t>
  </si>
  <si>
    <t>AL051997</t>
  </si>
  <si>
    <t xml:space="preserve">https://www.nhc.noaa.gov/data/tcr/AL051997_Danny.pdf </t>
  </si>
  <si>
    <t>AL071997</t>
  </si>
  <si>
    <t>https://www.nhc.noaa.gov/data/tcr/AL071997_Erika.pdf</t>
  </si>
  <si>
    <t>AL081997</t>
  </si>
  <si>
    <t>https://www.nhc.noaa.gov/data/tcr/AL081997_Fabian.pdf</t>
  </si>
  <si>
    <t>AL091997</t>
  </si>
  <si>
    <t>https://www.nhc.noaa.gov/data/tcr/AL091997_Grace.pdf</t>
  </si>
  <si>
    <t>AL011998</t>
  </si>
  <si>
    <t>https://www.nhc.noaa.gov/data/tcr/AL011998_Alex.pdf</t>
  </si>
  <si>
    <t>AL021998</t>
  </si>
  <si>
    <t xml:space="preserve">https://www.nhc.noaa.gov/data/tcr/AL021998_Bonnie.pdf </t>
  </si>
  <si>
    <t>DE</t>
  </si>
  <si>
    <t>AL031998</t>
  </si>
  <si>
    <t xml:space="preserve">https://www.nhc.noaa.gov/data/tcr/AL031998_Charley.pdf </t>
  </si>
  <si>
    <t>AL041998</t>
  </si>
  <si>
    <t>https://www.nhc.noaa.gov/data/tcr/AL041998_Danielle.pdf</t>
  </si>
  <si>
    <t>AL051998</t>
  </si>
  <si>
    <t xml:space="preserve">https://www.nhc.noaa.gov/data/tcr/AL051998_Earl.pdf </t>
  </si>
  <si>
    <t>AL061998</t>
  </si>
  <si>
    <t xml:space="preserve">https://www.nhc.noaa.gov/data/tcr/AL061998_Frances.pdf </t>
  </si>
  <si>
    <t>AL071998</t>
  </si>
  <si>
    <t xml:space="preserve">https://www.nhc.noaa.gov/data/tcr/AL071998_Georges.pdf </t>
  </si>
  <si>
    <t>AL081998</t>
  </si>
  <si>
    <t>https://www.nhc.noaa.gov/data/tcr/AL081998_Hermine.pdf</t>
  </si>
  <si>
    <t>AL091998</t>
  </si>
  <si>
    <t>https://www.nhc.noaa.gov/data/tcr/AL091998_Ivan.pdf</t>
  </si>
  <si>
    <t>AL101998</t>
  </si>
  <si>
    <t>https://www.nhc.noaa.gov/data/tcr/AL101998_Jeanne.pdf</t>
  </si>
  <si>
    <t>AL111998</t>
  </si>
  <si>
    <t>https://www.nhc.noaa.gov/data/tcr/AL111998_Karl.pdf</t>
  </si>
  <si>
    <t>AL121998</t>
  </si>
  <si>
    <t>https://www.nhc.noaa.gov/data/tcr/AL121998_Lisa.pdf</t>
  </si>
  <si>
    <t>AL131998</t>
  </si>
  <si>
    <t xml:space="preserve">https://www.nhc.noaa.gov/data/tcr/AL131998_Mitch.pdf </t>
  </si>
  <si>
    <t>AL141998</t>
  </si>
  <si>
    <t xml:space="preserve">https://www.nhc.noaa.gov/data/tcr/AL141998_Nicole.pdf </t>
  </si>
  <si>
    <t>AL011999</t>
  </si>
  <si>
    <t>https://www.nhc.noaa.gov/data/tcr/AL011999_Arlene.pdf</t>
  </si>
  <si>
    <t>AL031999</t>
  </si>
  <si>
    <t>https://www.nhc.noaa.gov/data/tcr/AL031999_Bret.pdf</t>
  </si>
  <si>
    <t>AL041999</t>
  </si>
  <si>
    <t>https://www.nhc.noaa.gov/data/tcr/AL041999_Cindy.pdf</t>
  </si>
  <si>
    <t>AL051999</t>
  </si>
  <si>
    <t>https://www.nhc.noaa.gov/data/tcr/AL051999_Dennis.pdf</t>
  </si>
  <si>
    <t>AL061999</t>
  </si>
  <si>
    <t>https://www.nhc.noaa.gov/data/tcr/AL061999_Emily.pdf</t>
  </si>
  <si>
    <t>AL081999</t>
  </si>
  <si>
    <t>https://www.nhc.noaa.gov/data/tcr/AL081999_Floyd.pdf</t>
  </si>
  <si>
    <t>AL091999</t>
  </si>
  <si>
    <t>https://www.nhc.noaa.gov/data/tcr/AL091999_Gert.pdf</t>
  </si>
  <si>
    <t>ME</t>
  </si>
  <si>
    <t>AL101999</t>
  </si>
  <si>
    <t xml:space="preserve">https://www.nhc.noaa.gov/data/tcr/AL101999_Harvey.pdf </t>
  </si>
  <si>
    <t>AL131999</t>
  </si>
  <si>
    <t xml:space="preserve">https://www.nhc.noaa.gov/data/tcr/AL131999_Irene.pdf </t>
  </si>
  <si>
    <t>AL141999</t>
  </si>
  <si>
    <t>https://www.nhc.noaa.gov/data/tcr/AL141999_Jose.pdf</t>
  </si>
  <si>
    <t>AL151999</t>
  </si>
  <si>
    <t>https://www.nhc.noaa.gov/data/tcr/AL151999_Katrina.pdf</t>
  </si>
  <si>
    <t>AL161999</t>
  </si>
  <si>
    <t>https://www.nhc.noaa.gov/data/tcr/AL161999_Lenny.pdf</t>
  </si>
  <si>
    <t>AL032000</t>
  </si>
  <si>
    <t>https://www.nhc.noaa.gov/data/tcr/AL032000_Alberto.pdf</t>
  </si>
  <si>
    <t>AL052000</t>
  </si>
  <si>
    <t>https://www.nhc.noaa.gov/data/tcr/AL052000_Beryl.pdf</t>
  </si>
  <si>
    <t>AL062000</t>
  </si>
  <si>
    <t>https://www.nhc.noaa.gov/data/tcr/AL062000_Chris.pdf</t>
  </si>
  <si>
    <t>AL072000</t>
  </si>
  <si>
    <t>https://www.nhc.noaa.gov/data/tcr/AL072000_Debby.pdf</t>
  </si>
  <si>
    <t>AL082000</t>
  </si>
  <si>
    <t>https://www.nhc.noaa.gov/data/tcr/AL082000_Ernesto.pdf</t>
  </si>
  <si>
    <t>AL102000</t>
  </si>
  <si>
    <t>https://www.nhc.noaa.gov/data/tcr/AL102000_Florence.pdf</t>
  </si>
  <si>
    <t>AL112000</t>
  </si>
  <si>
    <t xml:space="preserve">https://www.nhc.noaa.gov/data/tcr/AL112000_Gordon.pdf, https://journals.ametsoc.org/view/journals/bams/81/9/1520-0477_2000_081_2065_lolitu_2_3_co_2.xml?tab_body=pdf </t>
  </si>
  <si>
    <t>AL122000</t>
  </si>
  <si>
    <t>https://www.nhc.noaa.gov/data/tcr/AL122000_Helene.pdf</t>
  </si>
  <si>
    <t>AL132000</t>
  </si>
  <si>
    <t>https://www.nhc.noaa.gov/data/tcr/AL132000_Isaac.pdf</t>
  </si>
  <si>
    <t>AL142000</t>
  </si>
  <si>
    <t>https://www.nhc.noaa.gov/data/tcr/AL142000_Joyce.pdf</t>
  </si>
  <si>
    <t>AL152000</t>
  </si>
  <si>
    <t>https://www.nhc.noaa.gov/data/tcr/AL152000_Keith.pdf</t>
  </si>
  <si>
    <t>AL162000</t>
  </si>
  <si>
    <t>https://www.nhc.noaa.gov/data/tcr/AL162000_Leslie.pdf</t>
  </si>
  <si>
    <t>AL172000</t>
  </si>
  <si>
    <t>https://www.nhc.noaa.gov/data/tcr/AL172000_Michael.pdf</t>
  </si>
  <si>
    <t>AL182000</t>
  </si>
  <si>
    <t>https://www.nhc.noaa.gov/data/tcr/AL182000_Nadine.pdf</t>
  </si>
  <si>
    <t>AL012001</t>
  </si>
  <si>
    <t>https://www.nhc.noaa.gov/data/tcr/AL012001_Allison.pdf</t>
  </si>
  <si>
    <t>AL032001</t>
  </si>
  <si>
    <t>https://www.nhc.noaa.gov/data/tcr/AL032001_Barry.pdf</t>
  </si>
  <si>
    <t>AL042001</t>
  </si>
  <si>
    <t>https://www.nhc.noaa.gov/data/tcr/AL042001_Chantal.pdf</t>
  </si>
  <si>
    <t>AL052001</t>
  </si>
  <si>
    <t>https://www.nhc.noaa.gov/data/tcr/AL052001_Dean.pdf</t>
  </si>
  <si>
    <t>AL062001</t>
  </si>
  <si>
    <t>https://www.nhc.noaa.gov/data/tcr/AL062001_Erin.pdf</t>
  </si>
  <si>
    <t>AL072001</t>
  </si>
  <si>
    <t>https://www.nhc.noaa.gov/data/tcr/AL072001_Felix.pdf</t>
  </si>
  <si>
    <t>AL082001</t>
  </si>
  <si>
    <t>https://www.nhc.noaa.gov/data/tcr/AL082001_Gabrielle.pdf</t>
  </si>
  <si>
    <t>AL102001</t>
  </si>
  <si>
    <t>https://www.nhc.noaa.gov/data/tcr/AL102001_Humberto.pdf</t>
  </si>
  <si>
    <t>AL112001</t>
  </si>
  <si>
    <t>https://www.nhc.noaa.gov/data/tcr/AL112001_Iris.pdf</t>
  </si>
  <si>
    <t>AL122001</t>
  </si>
  <si>
    <t>https://www.nhc.noaa.gov/data/tcr/AL122001_Jerry.pdf</t>
  </si>
  <si>
    <t>AL132001</t>
  </si>
  <si>
    <t>https://www.nhc.noaa.gov/data/tcr/AL132001_Karen.pdf</t>
  </si>
  <si>
    <t>AL142001</t>
  </si>
  <si>
    <t>https://www.nhc.noaa.gov/data/tcr/AL142001_Lorenzo.pdf</t>
  </si>
  <si>
    <t>AL152001</t>
  </si>
  <si>
    <t>https://www.nhc.noaa.gov/data/tcr/AL152001_Michelle.pdf</t>
  </si>
  <si>
    <t>AL162001</t>
  </si>
  <si>
    <t>https://www.nhc.noaa.gov/data/tcr/AL162001_Noel.pdf</t>
  </si>
  <si>
    <t>AL172001</t>
  </si>
  <si>
    <t>https://www.nhc.noaa.gov/data/tcr/AL172001_Olga.pdf</t>
  </si>
  <si>
    <t>AL012002</t>
  </si>
  <si>
    <t>https://www.nhc.noaa.gov/data/tcr/AL012002_Arthur.pdf</t>
  </si>
  <si>
    <t>AL022002</t>
  </si>
  <si>
    <t>https://www.nhc.noaa.gov/data/tcr/AL022002_Bertha.pdf</t>
  </si>
  <si>
    <t>AL032002</t>
  </si>
  <si>
    <t>https://www.nhc.noaa.gov/data/tcr/AL032002_Cristobal.pdf</t>
  </si>
  <si>
    <t>AL042002</t>
  </si>
  <si>
    <t>https://www.nhc.noaa.gov/data/tcr/AL042002_Dolly.pdf</t>
  </si>
  <si>
    <t>AL052002</t>
  </si>
  <si>
    <t>https://www.nhc.noaa.gov/data/tcr/AL052002_Edouard.pdf</t>
  </si>
  <si>
    <t>AL062002</t>
  </si>
  <si>
    <t>https://www.nhc.noaa.gov/data/tcr/AL062002_Fay.pdf</t>
  </si>
  <si>
    <t>AL082002</t>
  </si>
  <si>
    <t>https://www.nhc.noaa.gov/data/tcr/AL082002_Gustav.pdf</t>
  </si>
  <si>
    <t>AL092002</t>
  </si>
  <si>
    <t>https://www.nhc.noaa.gov/data/tcr/AL092002_Hanna.pdf</t>
  </si>
  <si>
    <t>AL102002</t>
  </si>
  <si>
    <t>https://www.nhc.noaa.gov/data/tcr/AL102002_Isidore.pdf</t>
  </si>
  <si>
    <t>TN</t>
  </si>
  <si>
    <t>AL112002</t>
  </si>
  <si>
    <t>https://www.nhc.noaa.gov/data/tcr/AL112002_Josephine.pdf</t>
  </si>
  <si>
    <t>AL122002</t>
  </si>
  <si>
    <t>https://www.nhc.noaa.gov/data/tcr/AL122002_Kyle.pdf</t>
  </si>
  <si>
    <t>AL132002</t>
  </si>
  <si>
    <t>https://www.nhc.noaa.gov/data/tcr/AL132002_Lili.pdf</t>
  </si>
  <si>
    <t>AL012003</t>
  </si>
  <si>
    <t>https://www.nhc.noaa.gov/data/tcr/AL012003_Ana.pdf</t>
  </si>
  <si>
    <t>AL032003</t>
  </si>
  <si>
    <t>https://www.nhc.noaa.gov/data/tcr/AL032003_Bill.pdf</t>
  </si>
  <si>
    <t>GA</t>
  </si>
  <si>
    <t>AL042003</t>
  </si>
  <si>
    <t>https://www.nhc.noaa.gov/data/tcr/AL042003_Claudette.pdf</t>
  </si>
  <si>
    <t>AL052003</t>
  </si>
  <si>
    <t>https://www.nhc.noaa.gov/data/tcr/AL052003_Danny.pdf</t>
  </si>
  <si>
    <t>AL082003</t>
  </si>
  <si>
    <t>https://www.nhc.noaa.gov/data/tcr/AL082003_Erika.pdf</t>
  </si>
  <si>
    <t>AL102003</t>
  </si>
  <si>
    <t>https://www.nhc.noaa.gov/data/tcr/AL102003_Fabian.pdf</t>
  </si>
  <si>
    <t>AL112003</t>
  </si>
  <si>
    <t>https://www.nhc.noaa.gov/data/tcr/AL112003_Grace.pdf</t>
  </si>
  <si>
    <t>AL122003</t>
  </si>
  <si>
    <t>https://www.nhc.noaa.gov/data/tcr/AL122003_Henri.pdf</t>
  </si>
  <si>
    <t>AL132003</t>
  </si>
  <si>
    <t>https://www.nhc.noaa.gov/data/tcr/AL132003_Isabel.pdf, https://www.weather.gov/media/publications/assessments/isabel.pdf appendix B</t>
  </si>
  <si>
    <t>MD</t>
  </si>
  <si>
    <t>1 FL, 1 RI, 1 NY, 1 NJ</t>
  </si>
  <si>
    <t>5 VA, 1 NJ, 1 NC</t>
  </si>
  <si>
    <t>AL152003</t>
  </si>
  <si>
    <t>https://www.nhc.noaa.gov/data/tcr/AL152003_Juan.pdf</t>
  </si>
  <si>
    <t>AL162003</t>
  </si>
  <si>
    <t>https://www.nhc.noaa.gov/data/tcr/AL162003_Kate.pdf</t>
  </si>
  <si>
    <t>AL172003</t>
  </si>
  <si>
    <t>https://www.nhc.noaa.gov/data/tcr/AL172003_Larry.pdf</t>
  </si>
  <si>
    <t>AL182003</t>
  </si>
  <si>
    <t>https://www.nhc.noaa.gov/data/tcr/AL182003_Mindy.pdf</t>
  </si>
  <si>
    <t>AL192003</t>
  </si>
  <si>
    <t>https://www.nhc.noaa.gov/data/tcr/AL192003_Nicholas.pdf</t>
  </si>
  <si>
    <t>AL202003</t>
  </si>
  <si>
    <t>https://www.nhc.noaa.gov/data/tcr/AL202003_Odette.pdf</t>
  </si>
  <si>
    <t>AL212003</t>
  </si>
  <si>
    <t>https://www.nhc.noaa.gov/data/tcr/AL212003_Peter.pdf</t>
  </si>
  <si>
    <t>AL012004</t>
  </si>
  <si>
    <t>https://www.nhc.noaa.gov/data/tcr/AL012004_Alex.pdf</t>
  </si>
  <si>
    <t>AL022004</t>
  </si>
  <si>
    <t>https://www.nhc.noaa.gov/data/tcr/AL022004_Bonnie.pdf</t>
  </si>
  <si>
    <t>AL032004</t>
  </si>
  <si>
    <t xml:space="preserve">https://www.nhc.noaa.gov/data/tcr/AL032004_Charley.pdf </t>
  </si>
  <si>
    <t>RI</t>
  </si>
  <si>
    <t>AL042004</t>
  </si>
  <si>
    <t>https://www.nhc.noaa.gov/data/tcr/AL042004_Danielle.pdf</t>
  </si>
  <si>
    <t>AL052004</t>
  </si>
  <si>
    <t>https://www.nhc.noaa.gov/data/tcr/AL052004_Earl.pdf</t>
  </si>
  <si>
    <t>AL062004</t>
  </si>
  <si>
    <t>https://www.nhc.noaa.gov/data/tcr/AL062004_Frances.pdf</t>
  </si>
  <si>
    <t>AL072004</t>
  </si>
  <si>
    <t xml:space="preserve">https://www.nhc.noaa.gov/data/tcr/AL072004_Gaston.pdf </t>
  </si>
  <si>
    <t>AL082004</t>
  </si>
  <si>
    <t>https://www.nhc.noaa.gov/data/tcr/AL082004_Hermine.pdf</t>
  </si>
  <si>
    <t>AL092004</t>
  </si>
  <si>
    <t>https://www.nhc.noaa.gov/data/tcr/AL092004_Ivan.pdf</t>
  </si>
  <si>
    <t>AL112004</t>
  </si>
  <si>
    <t>https://www.nhc.noaa.gov/data/tcr/AL112004_Jeanne.pdf</t>
  </si>
  <si>
    <t>FL, VA</t>
  </si>
  <si>
    <t>AL122004</t>
  </si>
  <si>
    <t>https://www.nhc.noaa.gov/data/tcr/AL122004_Karl.pdf</t>
  </si>
  <si>
    <t>AL132004</t>
  </si>
  <si>
    <t>https://www.nhc.noaa.gov/data/tcr/AL132004_Lisa.pdf</t>
  </si>
  <si>
    <t>AL142004</t>
  </si>
  <si>
    <t>https://www.nhc.noaa.gov/data/tcr/AL142004_Matthew.pdf</t>
  </si>
  <si>
    <t>AL152004</t>
  </si>
  <si>
    <t>https://www.nhc.noaa.gov/data/tcr/AL152004_Nicole.pdf</t>
  </si>
  <si>
    <t>AL162004</t>
  </si>
  <si>
    <t>https://www.nhc.noaa.gov/data/tcr/AL162004_Otto.pdf</t>
  </si>
  <si>
    <t>AL012005</t>
  </si>
  <si>
    <t>https://www.nhc.noaa.gov/data/tcr/AL012005_Arlene.pdf</t>
  </si>
  <si>
    <t>AL022005</t>
  </si>
  <si>
    <t>https://www.nhc.noaa.gov/data/tcr/AL022005_Bret.pdf</t>
  </si>
  <si>
    <t>AL032005</t>
  </si>
  <si>
    <t>https://www.nhc.noaa.gov/data/tcr/AL032005_Cindy.pdf</t>
  </si>
  <si>
    <t>AL042005</t>
  </si>
  <si>
    <t>https://www.nhc.noaa.gov/data/tcr/AL042005_Dennis.pdf</t>
  </si>
  <si>
    <t xml:space="preserve"> FL</t>
  </si>
  <si>
    <t>AL052005</t>
  </si>
  <si>
    <t>https://www.nhc.noaa.gov/data/tcr/AL052005_Emily.pdf</t>
  </si>
  <si>
    <t>AL062005</t>
  </si>
  <si>
    <t>https://www.nhc.noaa.gov/data/tcr/AL062005_Franklin.pdf</t>
  </si>
  <si>
    <t>AL072005</t>
  </si>
  <si>
    <t>https://www.nhc.noaa.gov/data/tcr/AL072005_Gert.pdf</t>
  </si>
  <si>
    <t>AL082005</t>
  </si>
  <si>
    <t>https://www.nhc.noaa.gov/data/tcr/AL082005_Harvey.pdf</t>
  </si>
  <si>
    <t>AL092005</t>
  </si>
  <si>
    <t>https://www.nhc.noaa.gov/data/tcr/AL092005_Irene.pdf</t>
  </si>
  <si>
    <t>AL102005</t>
  </si>
  <si>
    <t>https://www.nhc.noaa.gov/data/tcr/AL102005_Ten.pdf</t>
  </si>
  <si>
    <t>AL112005</t>
  </si>
  <si>
    <t>https://www.nhc.noaa.gov/data/tcr/AL112005_Jose.pdf</t>
  </si>
  <si>
    <t>AL122005</t>
  </si>
  <si>
    <t xml:space="preserve">https://www.nhc.noaa.gov/data/tcr/AL122005_Katrina.pdf </t>
  </si>
  <si>
    <t>LA, MS, FL</t>
  </si>
  <si>
    <t>AL132005</t>
  </si>
  <si>
    <t>https://www.nhc.noaa.gov/data/tcr/AL132005_Lee.pdf</t>
  </si>
  <si>
    <t>AL142005</t>
  </si>
  <si>
    <t>https://www.nhc.noaa.gov/data/tcr/AL142005_Maria.pdf</t>
  </si>
  <si>
    <t>AL152005</t>
  </si>
  <si>
    <t>https://www.nhc.noaa.gov/data/tcr/AL152005_Nate.pdf</t>
  </si>
  <si>
    <t>AL162005</t>
  </si>
  <si>
    <t>https://www.nhc.noaa.gov/data/tcr/AL162005_Ophelia.pdf</t>
  </si>
  <si>
    <t>AL172005</t>
  </si>
  <si>
    <t>https://www.nhc.noaa.gov/data/tcr/AL172005_Philippe.pdf</t>
  </si>
  <si>
    <t>AL182005</t>
  </si>
  <si>
    <t>https://www.nhc.noaa.gov/data/tcr/AL182005_Rita.pdf</t>
  </si>
  <si>
    <t>AL192005</t>
  </si>
  <si>
    <t>https://www.nhc.noaa.gov/data/tcr/AL192005_Nineteen.pdf</t>
  </si>
  <si>
    <t>AL202005</t>
  </si>
  <si>
    <t>https://www.nhc.noaa.gov/data/tcr/AL202005_Stan.pdf</t>
  </si>
  <si>
    <t>AL222005</t>
  </si>
  <si>
    <t>https://www.nhc.noaa.gov/data/tcr/AL222005_Tammy.pdf</t>
  </si>
  <si>
    <t>AL232005</t>
  </si>
  <si>
    <t>https://www.nhc.noaa.gov/data/tcr/AL232005_Twenty-Two.pdf</t>
  </si>
  <si>
    <t>AL242005</t>
  </si>
  <si>
    <t>https://www.nhc.noaa.gov/data/tcr/AL242005_Vince.pdf</t>
  </si>
  <si>
    <t>AL252005</t>
  </si>
  <si>
    <t>https://www.nhc.noaa.gov/data/tcr/AL252005_Wilma.pdf</t>
  </si>
  <si>
    <t>AL262005</t>
  </si>
  <si>
    <t>https://www.nhc.noaa.gov/data/tcr/AL262005_Alpha.pdf</t>
  </si>
  <si>
    <t>AL272005</t>
  </si>
  <si>
    <t>https://www.nhc.noaa.gov/data/tcr/AL272005_Beta.pdf</t>
  </si>
  <si>
    <t>AL282005</t>
  </si>
  <si>
    <t>https://www.nhc.noaa.gov/data/tcr/AL282005_Gamma.pdf</t>
  </si>
  <si>
    <t>AL292005</t>
  </si>
  <si>
    <t>https://www.nhc.noaa.gov/data/tcr/AL292005_Delta.pdf</t>
  </si>
  <si>
    <t>AL302005</t>
  </si>
  <si>
    <t>https://www.nhc.noaa.gov/data/tcr/AL302005_Epsilon.pdf</t>
  </si>
  <si>
    <t>AL312005</t>
  </si>
  <si>
    <t>https://www.nhc.noaa.gov/data/tcr/AL312005_Zeta.pdf</t>
  </si>
  <si>
    <t>AL012006</t>
  </si>
  <si>
    <t>https://www.nhc.noaa.gov/data/tcr/AL012006_Alberto.pdf</t>
  </si>
  <si>
    <t>AL032006</t>
  </si>
  <si>
    <t>https://www.nhc.noaa.gov/data/tcr/AL032006_Beryl.pdf</t>
  </si>
  <si>
    <t>AL042006</t>
  </si>
  <si>
    <t>https://www.nhc.noaa.gov/data/tcr/AL042006_Chris.pdf</t>
  </si>
  <si>
    <t>AL052006</t>
  </si>
  <si>
    <t>https://www.nhc.noaa.gov/data/tcr/AL052006_Debby.pdf</t>
  </si>
  <si>
    <t>AL062006</t>
  </si>
  <si>
    <t>https://www.nhc.noaa.gov/data/tcr/AL062006_Ernesto.pdf</t>
  </si>
  <si>
    <t>AL072006</t>
  </si>
  <si>
    <t>https://www.nhc.noaa.gov/data/tcr/AL072006_Florence.pdf</t>
  </si>
  <si>
    <t>AL082006</t>
  </si>
  <si>
    <t>https://www.nhc.noaa.gov/data/tcr/AL082006_Gordon.pdf</t>
  </si>
  <si>
    <t>AL092006</t>
  </si>
  <si>
    <t>https://www.nhc.noaa.gov/data/tcr/AL092006_Helene.pdf</t>
  </si>
  <si>
    <t>AL102006</t>
  </si>
  <si>
    <t>https://www.nhc.noaa.gov/data/tcr/AL102006_Isaac.pdf</t>
  </si>
  <si>
    <t>AL012007</t>
  </si>
  <si>
    <t>https://www.nhc.noaa.gov/data/tcr/AL012007_Andrea.pdf</t>
  </si>
  <si>
    <t>AL022007</t>
  </si>
  <si>
    <t>https://www.nhc.noaa.gov/data/tcr/AL022007_Barry.pdf</t>
  </si>
  <si>
    <t>AL032007</t>
  </si>
  <si>
    <t>https://www.nhc.noaa.gov/data/tcr/AL032007_Chantal.pdf</t>
  </si>
  <si>
    <t>AL042007</t>
  </si>
  <si>
    <t>https://www.nhc.noaa.gov/data/tcr/AL042007_Dean.pdf</t>
  </si>
  <si>
    <t>AL052007</t>
  </si>
  <si>
    <t>https://www.nhc.noaa.gov/data/tcr/AL052007_Erin.pdf</t>
  </si>
  <si>
    <t>9 TX, 6 OK, 1 MO</t>
  </si>
  <si>
    <t>AL062007</t>
  </si>
  <si>
    <t>https://www.nhc.noaa.gov/data/tcr/AL062007_Felix.pdf</t>
  </si>
  <si>
    <t>AL072007</t>
  </si>
  <si>
    <t>https://www.nhc.noaa.gov/data/tcr/AL072007_Gabrielle.pdf</t>
  </si>
  <si>
    <t>AL082007</t>
  </si>
  <si>
    <t>https://www.nhc.noaa.gov/data/tcr/AL082007_Ingrid.pdf</t>
  </si>
  <si>
    <t>AL092007</t>
  </si>
  <si>
    <t>https://www.nhc.noaa.gov/data/tcr/AL092007_Humberto.pdf</t>
  </si>
  <si>
    <t>AL102007</t>
  </si>
  <si>
    <t>https://www.nhc.noaa.gov/data/tcr/AL102007_Ten.pdf</t>
  </si>
  <si>
    <t>AL112007</t>
  </si>
  <si>
    <t>https://www.nhc.noaa.gov/data/tcr/AL112007_Jerry.pdf</t>
  </si>
  <si>
    <t>AL122007</t>
  </si>
  <si>
    <t>https://www.nhc.noaa.gov/data/tcr/AL122007_Karen.pdf</t>
  </si>
  <si>
    <t>AL132007</t>
  </si>
  <si>
    <t>https://www.nhc.noaa.gov/data/tcr/AL132007_Lorenzo.pdf</t>
  </si>
  <si>
    <t>AL142007</t>
  </si>
  <si>
    <t>https://www.nhc.noaa.gov/data/tcr/AL142007_Melissa.pdf</t>
  </si>
  <si>
    <t>AL152007</t>
  </si>
  <si>
    <t>https://www.nhc.noaa.gov/data/tcr/AL152007_Fifteen.pdf</t>
  </si>
  <si>
    <t>AL162007</t>
  </si>
  <si>
    <t>https://www.nhc.noaa.gov/data/tcr/AL162007_Noel.pdf</t>
  </si>
  <si>
    <t>AL172007</t>
  </si>
  <si>
    <t>https://www.nhc.noaa.gov/data/tcr/AL172007_Olga.pdf</t>
  </si>
  <si>
    <t>AL012008</t>
  </si>
  <si>
    <t>https://www.nhc.noaa.gov/data/tcr/AL012008_Arthur.pdf</t>
  </si>
  <si>
    <t>AL022008</t>
  </si>
  <si>
    <t>https://www.nhc.noaa.gov/data/tcr/AL022008_Bertha.pdf</t>
  </si>
  <si>
    <t>AL032008</t>
  </si>
  <si>
    <t>https://www.nhc.noaa.gov/data/tcr/AL032008_Cristobal.pdf</t>
  </si>
  <si>
    <t>AL042008</t>
  </si>
  <si>
    <t>https://www.nhc.noaa.gov/data/tcr/AL042008_Dolly.pdf</t>
  </si>
  <si>
    <t>AL052008</t>
  </si>
  <si>
    <t>https://www.nhc.noaa.gov/data/tcr/AL052008_Edouard.pdf</t>
  </si>
  <si>
    <t>AL062008</t>
  </si>
  <si>
    <t>https://www.nhc.noaa.gov/data/tcr/AL062008_Fay.pdf</t>
  </si>
  <si>
    <t>AL072008</t>
  </si>
  <si>
    <t xml:space="preserve">https://www.aoml.noaa.gov/hrd/hurdat/mwr_pdf/2008.pdf </t>
  </si>
  <si>
    <t>AL082008</t>
  </si>
  <si>
    <t>https://www.nhc.noaa.gov/data/tcr/AL082008_Hanna.pdf</t>
  </si>
  <si>
    <t>AL092008</t>
  </si>
  <si>
    <t xml:space="preserve">https://www.nhc.noaa.gov/data/tcr/AL092008_Ike.pdf  </t>
  </si>
  <si>
    <t>16 TX, 1 LA</t>
  </si>
  <si>
    <t>2 TX, 1 AR</t>
  </si>
  <si>
    <t>AL102008</t>
  </si>
  <si>
    <t>https://www.nhc.noaa.gov/data/tcr/AL102008_Josephine.pdf</t>
  </si>
  <si>
    <t>AL112008</t>
  </si>
  <si>
    <t>https://www.nhc.noaa.gov/data/tcr/AL112008_Kyle.pdf</t>
  </si>
  <si>
    <t>AL122008</t>
  </si>
  <si>
    <t>https://www.nhc.noaa.gov/data/tcr/AL122008_Laura.pdf</t>
  </si>
  <si>
    <t>AL132008</t>
  </si>
  <si>
    <t>https://www.nhc.noaa.gov/data/tcr/AL132008_Marco.pdf</t>
  </si>
  <si>
    <t>AL142008</t>
  </si>
  <si>
    <t>https://www.nhc.noaa.gov/data/tcr/AL142008_Nana.pdf</t>
  </si>
  <si>
    <t>AL152008</t>
  </si>
  <si>
    <t>https://www.nhc.noaa.gov/data/tcr/AL152008_Omar.pdf</t>
  </si>
  <si>
    <t>AL162008</t>
  </si>
  <si>
    <t>https://www.nhc.noaa.gov/data/tcr/AL162008_Sixteen.pdf</t>
  </si>
  <si>
    <t>AL172008</t>
  </si>
  <si>
    <t>https://www.nhc.noaa.gov/data/tcr/AL172008_Paloma.pdf</t>
  </si>
  <si>
    <t>AL012009</t>
  </si>
  <si>
    <t>https://www.nhc.noaa.gov/data/tcr/AL012009_One.pdf</t>
  </si>
  <si>
    <t>AL022009</t>
  </si>
  <si>
    <t>https://www.nhc.noaa.gov/data/tcr/AL022009_Ana.pdf</t>
  </si>
  <si>
    <t>AL032009</t>
  </si>
  <si>
    <t>https://www.nhc.noaa.gov/data/tcr/AL032009_Bill.pdf</t>
  </si>
  <si>
    <t>AL042009</t>
  </si>
  <si>
    <t>https://www.nhc.noaa.gov/data/tcr/AL042009_Claudette.pdf</t>
  </si>
  <si>
    <t>AL052009</t>
  </si>
  <si>
    <t>https://www.nhc.noaa.gov/data/tcr/AL052009_Danny.pdf</t>
  </si>
  <si>
    <t>AL062009</t>
  </si>
  <si>
    <t>https://www.nhc.noaa.gov/data/tcr/AL062009_Erika.pdf</t>
  </si>
  <si>
    <t>AL072009</t>
  </si>
  <si>
    <t>https://www.nhc.noaa.gov/data/tcr/AL072009_Fred.pdf</t>
  </si>
  <si>
    <t>AL082009</t>
  </si>
  <si>
    <t>https://www.nhc.noaa.gov/data/tcr/AL082009_Eight.pdf</t>
  </si>
  <si>
    <t>AL092009</t>
  </si>
  <si>
    <t>https://www.nhc.noaa.gov/data/tcr/AL092009_Grace.pdf</t>
  </si>
  <si>
    <t>AL102009</t>
  </si>
  <si>
    <t>https://www.nhc.noaa.gov/data/tcr/AL102009_Henri.pdf</t>
  </si>
  <si>
    <t>AL112009</t>
  </si>
  <si>
    <t>https://www.nhc.noaa.gov/data/tcr/AL112009_Ida.pdf</t>
  </si>
  <si>
    <t>AL012010</t>
  </si>
  <si>
    <t>https://www.nhc.noaa.gov/data/tcr/AL012010_Alex.pdf</t>
  </si>
  <si>
    <t>AL022010</t>
  </si>
  <si>
    <t>https://www.nhc.noaa.gov/data/tcr/AL022010_Two.pdf</t>
  </si>
  <si>
    <t>AL032010</t>
  </si>
  <si>
    <t>https://www.nhc.noaa.gov/data/tcr/AL032010_Bonnie.pdf</t>
  </si>
  <si>
    <t>AL042010</t>
  </si>
  <si>
    <t>https://www.nhc.noaa.gov/data/tcr/AL042010_Colin.pdf</t>
  </si>
  <si>
    <t>AL052010</t>
  </si>
  <si>
    <t>https://www.nhc.noaa.gov/data/tcr/AL052010_Five.pdf</t>
  </si>
  <si>
    <t>AL062010</t>
  </si>
  <si>
    <t>https://www.nhc.noaa.gov/data/tcr/AL062010_Danielle.pdf</t>
  </si>
  <si>
    <t>AL072010</t>
  </si>
  <si>
    <t>https://www.nhc.noaa.gov/data/tcr/AL072010_Earl.pdf</t>
  </si>
  <si>
    <t>1 ME, 1 FL</t>
  </si>
  <si>
    <t>AL082010</t>
  </si>
  <si>
    <t>https://www.nhc.noaa.gov/data/tcr/AL082010_Fiona.pdf</t>
  </si>
  <si>
    <t>AL092010</t>
  </si>
  <si>
    <t>https://www.nhc.noaa.gov/data/tcr/AL092010_Gaston.pdf</t>
  </si>
  <si>
    <t>AL102010</t>
  </si>
  <si>
    <t>https://www.nhc.noaa.gov/data/tcr/AL102010_Hermine.pdf</t>
  </si>
  <si>
    <t>AL112010</t>
  </si>
  <si>
    <t>https://www.nhc.noaa.gov/data/tcr/AL112010_Igor.pdf</t>
  </si>
  <si>
    <t>AL122010</t>
  </si>
  <si>
    <t>https://www.nhc.noaa.gov/data/tcr/AL122010_Julia.pdf</t>
  </si>
  <si>
    <t>AL132010</t>
  </si>
  <si>
    <t>https://www.nhc.noaa.gov/data/tcr/AL132010_Karl.pdf</t>
  </si>
  <si>
    <t>AL142010</t>
  </si>
  <si>
    <t>https://www.nhc.noaa.gov/data/tcr/AL142010_Lisa.pdf</t>
  </si>
  <si>
    <t>AL152010</t>
  </si>
  <si>
    <t>https://www.nhc.noaa.gov/data/tcr/AL152010_Matthew.pdf</t>
  </si>
  <si>
    <t>AL162010</t>
  </si>
  <si>
    <t>https://www.nhc.noaa.gov/data/tcr/AL162010_Nicole.pdf</t>
  </si>
  <si>
    <t>AL172010</t>
  </si>
  <si>
    <t>https://www.nhc.noaa.gov/data/tcr/AL172010_Otto.pdf</t>
  </si>
  <si>
    <t>AL182010</t>
  </si>
  <si>
    <t>https://www.nhc.noaa.gov/data/tcr/AL182010_Paula.pdf</t>
  </si>
  <si>
    <t>AL192010</t>
  </si>
  <si>
    <t>https://www.nhc.noaa.gov/data/tcr/AL192010_Richard.pdf</t>
  </si>
  <si>
    <t>AL202010</t>
  </si>
  <si>
    <t>https://www.nhc.noaa.gov/data/tcr/AL202010_Shary.pdf</t>
  </si>
  <si>
    <t>AL212010</t>
  </si>
  <si>
    <t>https://www.nhc.noaa.gov/data/tcr/AL212010_Tomas.pdf</t>
  </si>
  <si>
    <t>AL012011</t>
  </si>
  <si>
    <t>https://www.nhc.noaa.gov/data/tcr/AL012011_Arlene.pdf</t>
  </si>
  <si>
    <t>AL022011</t>
  </si>
  <si>
    <t>https://www.nhc.noaa.gov/data/tcr/AL022011_Bret.pdf</t>
  </si>
  <si>
    <t>AL032011</t>
  </si>
  <si>
    <t>https://www.nhc.noaa.gov/data/tcr/AL032011_Cindy.pdf</t>
  </si>
  <si>
    <t>AL042011</t>
  </si>
  <si>
    <t>https://www.nhc.noaa.gov/data/tcr/AL042011_Don.pdf</t>
  </si>
  <si>
    <t>AL052011</t>
  </si>
  <si>
    <t>https://www.nhc.noaa.gov/data/tcr/AL052011_Emily.pdf</t>
  </si>
  <si>
    <t>AL062011</t>
  </si>
  <si>
    <t>https://www.nhc.noaa.gov/data/tcr/AL062011_Franklin.pdf</t>
  </si>
  <si>
    <t>AL072011</t>
  </si>
  <si>
    <t>https://www.nhc.noaa.gov/data/tcr/AL072011_Gert.pdf</t>
  </si>
  <si>
    <t>AL082011</t>
  </si>
  <si>
    <t>https://www.nhc.noaa.gov/data/tcr/AL082011_Harvey.pdf</t>
  </si>
  <si>
    <t>AL092011</t>
  </si>
  <si>
    <t>https://www.nhc.noaa.gov/data/tcr/AL092011_Irene.pdf</t>
  </si>
  <si>
    <t>3 NY, 1 FL, 1 VA, 1 DE</t>
  </si>
  <si>
    <t>8 NY, 5 NJ, 3 VT, 2 DE, 1 PA, 1 CT</t>
  </si>
  <si>
    <t>4 NC, 4 VA, 1 MD, 3 PA, 1 NH</t>
  </si>
  <si>
    <t>AL102011</t>
  </si>
  <si>
    <t>https://www.nhc.noaa.gov/data/tcr/AL102011_Ten.pdf</t>
  </si>
  <si>
    <t>AL112011</t>
  </si>
  <si>
    <t>https://www.nhc.noaa.gov/data/tcr/AL112011_Jose.pdf</t>
  </si>
  <si>
    <t>AL122011</t>
  </si>
  <si>
    <t>https://www.nhc.noaa.gov/data/tcr/AL122011_Katia.pdf</t>
  </si>
  <si>
    <t>AL132011</t>
  </si>
  <si>
    <t>https://www.nhc.noaa.gov/data/tcr/AL132011_Lee.pdf</t>
  </si>
  <si>
    <t>1 AL, 1 TX</t>
  </si>
  <si>
    <t>AL142011</t>
  </si>
  <si>
    <t>https://www.nhc.noaa.gov/data/tcr/AL142011_Maria.pdf</t>
  </si>
  <si>
    <t>AL152011</t>
  </si>
  <si>
    <t>https://www.nhc.noaa.gov/data/tcr/AL152011_Nate.pdf</t>
  </si>
  <si>
    <t>AL162011</t>
  </si>
  <si>
    <t>https://www.nhc.noaa.gov/data/tcr/AL162011_Ophelia.pdf</t>
  </si>
  <si>
    <t>AL172011</t>
  </si>
  <si>
    <t>https://www.nhc.noaa.gov/data/tcr/AL172011_Philippe.pdf</t>
  </si>
  <si>
    <t>AL182011</t>
  </si>
  <si>
    <t>https://www.nhc.noaa.gov/data/tcr/AL182011_Rina.pdf</t>
  </si>
  <si>
    <t>AL192011</t>
  </si>
  <si>
    <t>https://www.nhc.noaa.gov/data/tcr/AL192011_Sean.pdf</t>
  </si>
  <si>
    <t>AL012012</t>
  </si>
  <si>
    <t>https://www.nhc.noaa.gov/data/tcr/AL012012_Alberto.pdf</t>
  </si>
  <si>
    <t>AL022012</t>
  </si>
  <si>
    <t>https://www.nhc.noaa.gov/data/tcr/AL022012_Beryl.pdf</t>
  </si>
  <si>
    <t>AL032012</t>
  </si>
  <si>
    <t>https://www.nhc.noaa.gov/data/tcr/AL032012_Chris.pdf</t>
  </si>
  <si>
    <t>AL042012</t>
  </si>
  <si>
    <t>https://www.nhc.noaa.gov/data/tcr/AL042012_Debby.pdf</t>
  </si>
  <si>
    <t>2 FL, 1 AL</t>
  </si>
  <si>
    <t>AL052012</t>
  </si>
  <si>
    <t>https://www.nhc.noaa.gov/data/tcr/AL052012_Ernesto.pdf</t>
  </si>
  <si>
    <t>AL062012</t>
  </si>
  <si>
    <t>https://www.nhc.noaa.gov/data/tcr/AL062012_Florence.pdf</t>
  </si>
  <si>
    <t>AL072012</t>
  </si>
  <si>
    <t>https://www.nhc.noaa.gov/data/tcr/AL072012_Helene.pdf</t>
  </si>
  <si>
    <t>AL082012</t>
  </si>
  <si>
    <t>https://www.nhc.noaa.gov/data/tcr/AL082012_Gordon.pdf</t>
  </si>
  <si>
    <t>AL092012</t>
  </si>
  <si>
    <t>https://www.nhc.noaa.gov/data/tcr/AL092012_Isaac.pdf</t>
  </si>
  <si>
    <t>AL102012</t>
  </si>
  <si>
    <t>https://www.nhc.noaa.gov/data/tcr/AL102012_Joyce.pdf</t>
  </si>
  <si>
    <t>AL112012</t>
  </si>
  <si>
    <t>https://www.nhc.noaa.gov/data/tcr/AL112012_Kirk.pdf</t>
  </si>
  <si>
    <t>AL122012</t>
  </si>
  <si>
    <t>https://www.nhc.noaa.gov/data/tcr/AL122012_Leslie.pdf</t>
  </si>
  <si>
    <t>AL132012</t>
  </si>
  <si>
    <t>https://www.nhc.noaa.gov/data/tcr/AL132012_Michael.pdf</t>
  </si>
  <si>
    <t>AL142012</t>
  </si>
  <si>
    <t>https://www.nhc.noaa.gov/data/tcr/AL142012_Nadine.pdf</t>
  </si>
  <si>
    <t>AL152012</t>
  </si>
  <si>
    <t>https://www.nhc.noaa.gov/data/tcr/AL152012_Oscar.pdf</t>
  </si>
  <si>
    <t>AL162012</t>
  </si>
  <si>
    <t>https://www.nhc.noaa.gov/data/tcr/AL162012_Patty.pdf</t>
  </si>
  <si>
    <t>AL172012</t>
  </si>
  <si>
    <t>https://www.nhc.noaa.gov/data/tcr/AL172012_Rafael.pdf</t>
  </si>
  <si>
    <t>AL182012</t>
  </si>
  <si>
    <t>https://www.nhc.noaa.gov/data/tcr/AL182012_Sandy.pdf</t>
  </si>
  <si>
    <t>AL192012</t>
  </si>
  <si>
    <t>https://www.nhc.noaa.gov/data/tcr/AL192012_Tony.pdf</t>
  </si>
  <si>
    <t>AL012013</t>
  </si>
  <si>
    <t>https://www.nhc.noaa.gov/data/tcr/AL012013_Andrea.pdf</t>
  </si>
  <si>
    <t>AL022013</t>
  </si>
  <si>
    <t>https://www.nhc.noaa.gov/data/tcr/AL022013_Barry.pdf</t>
  </si>
  <si>
    <t>AL032013</t>
  </si>
  <si>
    <t>https://www.nhc.noaa.gov/data/tcr/AL032013_Chantal.pdf</t>
  </si>
  <si>
    <t>AL042013</t>
  </si>
  <si>
    <t>https://www.nhc.noaa.gov/data/tcr/AL042013_Dorian.pdf</t>
  </si>
  <si>
    <t>AL052013</t>
  </si>
  <si>
    <t>https://www.nhc.noaa.gov/data/tcr/AL052013_Erin.pdf</t>
  </si>
  <si>
    <t>AL062013</t>
  </si>
  <si>
    <t>https://www.nhc.noaa.gov/data/tcr/AL062013_Fernand.pdf</t>
  </si>
  <si>
    <t>AL072013</t>
  </si>
  <si>
    <t>https://www.nhc.noaa.gov/data/tcr/AL072013_Gabrielle.pdf</t>
  </si>
  <si>
    <t>AL082013</t>
  </si>
  <si>
    <t>https://www.nhc.noaa.gov/data/tcr/AL082013_Eight.pdf</t>
  </si>
  <si>
    <t>AL092013</t>
  </si>
  <si>
    <t>https://www.nhc.noaa.gov/data/tcr/AL092013_Humberto.pdf</t>
  </si>
  <si>
    <t>AL102013</t>
  </si>
  <si>
    <t>https://www.nhc.noaa.gov/data/tcr/AL102013_Ingrid.pdf</t>
  </si>
  <si>
    <t>AL112013</t>
  </si>
  <si>
    <t>https://www.nhc.noaa.gov/data/tcr/AL112013_Jerry.pdf</t>
  </si>
  <si>
    <t>AL122013</t>
  </si>
  <si>
    <t>https://www.nhc.noaa.gov/data/tcr/AL122013_Karen.pdf</t>
  </si>
  <si>
    <t>AL132013</t>
  </si>
  <si>
    <t>https://www.nhc.noaa.gov/data/tcr/AL132013_Lorenzo.pdf</t>
  </si>
  <si>
    <t>AL142013</t>
  </si>
  <si>
    <t>https://www.nhc.noaa.gov/data/tcr/AL142013_Melissa.pdf</t>
  </si>
  <si>
    <t>AL012014</t>
  </si>
  <si>
    <t>https://www.nhc.noaa.gov/data/tcr/AL012014_Arthur.pdf</t>
  </si>
  <si>
    <t>AL022014</t>
  </si>
  <si>
    <t>https://www.nhc.noaa.gov/data/tcr/AL022014_Two.pdf</t>
  </si>
  <si>
    <t>AL032014</t>
  </si>
  <si>
    <t>https://www.nhc.noaa.gov/data/tcr/AL032014_Bertha.pdf</t>
  </si>
  <si>
    <t>1 NC, 1 NJ</t>
  </si>
  <si>
    <t>AL042014</t>
  </si>
  <si>
    <t>https://www.nhc.noaa.gov/data/tcr/AL042014_Cristobal.pdf</t>
  </si>
  <si>
    <t>1 MD, 1 NJ</t>
  </si>
  <si>
    <t>AL052014</t>
  </si>
  <si>
    <t>https://www.nhc.noaa.gov/data/tcr/AL052014_Dolly.pdf</t>
  </si>
  <si>
    <t>AL062014</t>
  </si>
  <si>
    <t>https://www.nhc.noaa.gov/data/tcr/AL062014_Edouard.pdf</t>
  </si>
  <si>
    <t>AL072014</t>
  </si>
  <si>
    <t>https://www.nhc.noaa.gov/data/tcr/AL072014_Fay.pdf</t>
  </si>
  <si>
    <t>AL082014</t>
  </si>
  <si>
    <t>https://www.nhc.noaa.gov/data/tcr/AL082014_Gonzalo.pdf</t>
  </si>
  <si>
    <t>AL092014</t>
  </si>
  <si>
    <t>https://www.nhc.noaa.gov/data/tcr/AL092014_Hanna.pdf</t>
  </si>
  <si>
    <t>AL012015</t>
  </si>
  <si>
    <t>https://www.nhc.noaa.gov/data/tcr/AL012015_Ana.pdf</t>
  </si>
  <si>
    <t>AL022015</t>
  </si>
  <si>
    <t>https://www.nhc.noaa.gov/data/tcr/AL022015_Bill.pdf</t>
  </si>
  <si>
    <t>OK</t>
  </si>
  <si>
    <t>AL032015</t>
  </si>
  <si>
    <t>https://www.nhc.noaa.gov/data/tcr/AL032015_Claudette.pdf</t>
  </si>
  <si>
    <t>AL042015</t>
  </si>
  <si>
    <t>https://www.nhc.noaa.gov/data/tcr/AL042015_Danny.pdf</t>
  </si>
  <si>
    <t>AL052015</t>
  </si>
  <si>
    <t>https://www.nhc.noaa.gov/data/tcr/AL052015_Erika.pdf</t>
  </si>
  <si>
    <t>AL062015</t>
  </si>
  <si>
    <t>https://www.nhc.noaa.gov/data/tcr/AL062015_Fred.pdf</t>
  </si>
  <si>
    <t>AL072015</t>
  </si>
  <si>
    <t>https://www.nhc.noaa.gov/data/tcr/AL072015_Grace.pdf</t>
  </si>
  <si>
    <t>AL082015</t>
  </si>
  <si>
    <t>https://www.nhc.noaa.gov/data/tcr/AL082015_Henri.pdf</t>
  </si>
  <si>
    <t>AL092015</t>
  </si>
  <si>
    <t>https://www.nhc.noaa.gov/data/tcr/AL092015_Nine.pdf</t>
  </si>
  <si>
    <t>AL102015</t>
  </si>
  <si>
    <t>https://www.nhc.noaa.gov/data/tcr/AL102015_Ida.pdf</t>
  </si>
  <si>
    <t>AL112015</t>
  </si>
  <si>
    <t>https://www.nhc.noaa.gov/data/tcr/AL112015_Joaquin.pdf</t>
  </si>
  <si>
    <t>AL122015</t>
  </si>
  <si>
    <t>https://www.nhc.noaa.gov/data/tcr/AL122015_Kate.pdf</t>
  </si>
  <si>
    <t>AL012016</t>
  </si>
  <si>
    <t>https://www.nhc.noaa.gov/data/tcr/AL012016_Alex.pdf</t>
  </si>
  <si>
    <t>AL022016</t>
  </si>
  <si>
    <t>https://www.nhc.noaa.gov/data/tcr/AL022016_Bonnie.pdf</t>
  </si>
  <si>
    <t>AL032016</t>
  </si>
  <si>
    <t>https://www.nhc.noaa.gov/data/tcr/AL032016_Colin.pdf</t>
  </si>
  <si>
    <t>AL042016</t>
  </si>
  <si>
    <t>https://www.nhc.noaa.gov/data/tcr/AL042016_Danielle.pdf</t>
  </si>
  <si>
    <t>AL052016</t>
  </si>
  <si>
    <t>https://www.nhc.noaa.gov/data/tcr/AL052016_Earl.pdf</t>
  </si>
  <si>
    <t>AL062016</t>
  </si>
  <si>
    <t>https://www.nhc.noaa.gov/data/tcr/AL062016_Fiona.pdf</t>
  </si>
  <si>
    <t>AL072016</t>
  </si>
  <si>
    <t>https://www.nhc.noaa.gov/data/tcr/AL072016_Gaston.pdf</t>
  </si>
  <si>
    <t>AL082016</t>
  </si>
  <si>
    <t>https://www.nhc.noaa.gov/data/tcr/AL082016_Eight.pdf</t>
  </si>
  <si>
    <t>AL092016</t>
  </si>
  <si>
    <t>https://www.nhc.noaa.gov/data/tcr/AL092016_Hermine.pdf</t>
  </si>
  <si>
    <t>AL102016</t>
  </si>
  <si>
    <t>https://www.nhc.noaa.gov/data/tcr/AL102016_Ian.pdf</t>
  </si>
  <si>
    <t>AL112016</t>
  </si>
  <si>
    <t>https://www.nhc.noaa.gov/data/tcr/AL112016_Julia.pdf</t>
  </si>
  <si>
    <t>AL122016</t>
  </si>
  <si>
    <t>https://www.nhc.noaa.gov/data/tcr/AL122016_Karl.pdf</t>
  </si>
  <si>
    <t>AL132016</t>
  </si>
  <si>
    <t>https://www.nhc.noaa.gov/data/tcr/AL132016_Lisa.pdf</t>
  </si>
  <si>
    <t>AL142016</t>
  </si>
  <si>
    <t xml:space="preserve">https://www.nhc.noaa.gov/data/tcr/AL142016_Matthew.pdf </t>
  </si>
  <si>
    <t>24 NC, 4 SC</t>
  </si>
  <si>
    <t>2 FL, 2 GA, 1 NC</t>
  </si>
  <si>
    <t>AL152016</t>
  </si>
  <si>
    <t>https://www.nhc.noaa.gov/data/tcr/AL152016_Nicole.pdf</t>
  </si>
  <si>
    <t>AL162016</t>
  </si>
  <si>
    <t>https://www.nhc.noaa.gov/data/tcr/AL162016_Otto.pdf</t>
  </si>
  <si>
    <t>AL012017</t>
  </si>
  <si>
    <t>https://www.nhc.noaa.gov/data/tcr/AL012017_Arlene.pdf</t>
  </si>
  <si>
    <t>AL022017</t>
  </si>
  <si>
    <t>https://www.nhc.noaa.gov/data/tcr/AL022017_Bret.pdf</t>
  </si>
  <si>
    <t>AL032017</t>
  </si>
  <si>
    <t>https://www.nhc.noaa.gov/data/tcr/AL032017_Cindy.pdf</t>
  </si>
  <si>
    <t>AL042017</t>
  </si>
  <si>
    <t>https://www.nhc.noaa.gov/data/tcr/AL042017_Four.pdf</t>
  </si>
  <si>
    <t>AL052017</t>
  </si>
  <si>
    <t>https://www.nhc.noaa.gov/data/tcr/AL052017_Don.pdf</t>
  </si>
  <si>
    <t>AL062017</t>
  </si>
  <si>
    <t>https://www.nhc.noaa.gov/data/tcr/AL062017_Emily.pdf</t>
  </si>
  <si>
    <t>AL072017</t>
  </si>
  <si>
    <t>https://www.nhc.noaa.gov/data/tcr/AL072017_Franklin.pdf</t>
  </si>
  <si>
    <t>AL082017</t>
  </si>
  <si>
    <t>https://www.nhc.noaa.gov/data/tcr/AL082017_Gert.pdf</t>
  </si>
  <si>
    <t>AL092017</t>
  </si>
  <si>
    <t>https://www.nhc.noaa.gov/data/tcr/AL092017_Harvey.pdf</t>
  </si>
  <si>
    <t>AL112017</t>
  </si>
  <si>
    <t>https://www.nhc.noaa.gov/data/tcr/AL112017_Irma.pdf</t>
  </si>
  <si>
    <t>2 GA, 1 SC</t>
  </si>
  <si>
    <t>AL122017</t>
  </si>
  <si>
    <t>https://www.nhc.noaa.gov/data/tcr/AL122017_Jose.pdf</t>
  </si>
  <si>
    <t>AL132017</t>
  </si>
  <si>
    <t>https://www.nhc.noaa.gov/data/tcr/AL132017_Katia.pdf</t>
  </si>
  <si>
    <t>AL142017</t>
  </si>
  <si>
    <t>https://www.nhc.noaa.gov/data/tcr/AL142017_Lee.pdf</t>
  </si>
  <si>
    <t>AL152017</t>
  </si>
  <si>
    <t>https://www.nhc.noaa.gov/data/tcr/AL152017_Maria.pdf</t>
  </si>
  <si>
    <t>AL162017</t>
  </si>
  <si>
    <t>https://www.nhc.noaa.gov/data/tcr/AL162017_Nate.pdf</t>
  </si>
  <si>
    <t>AL172017</t>
  </si>
  <si>
    <t>https://www.nhc.noaa.gov/data/tcr/AL172017_Ophelia.pdf</t>
  </si>
  <si>
    <t>AL182017</t>
  </si>
  <si>
    <t>https://www.nhc.noaa.gov/data/tcr/AL182017_Philippe.pdf</t>
  </si>
  <si>
    <t>AL192017</t>
  </si>
  <si>
    <t>https://www.nhc.noaa.gov/data/tcr/AL192017_Rina.pdf</t>
  </si>
  <si>
    <t>AL012018</t>
  </si>
  <si>
    <t>https://www.nhc.noaa.gov/data/tcr/AL012018_Alberto.pdf</t>
  </si>
  <si>
    <t>3 VA, 3 NC</t>
  </si>
  <si>
    <t>AL022018</t>
  </si>
  <si>
    <t>https://www.nhc.noaa.gov/data/tcr/AL022018_Beryl.pdf</t>
  </si>
  <si>
    <t>AL032018</t>
  </si>
  <si>
    <t>https://www.nhc.noaa.gov/data/tcr/AL032018_Chris.pdf</t>
  </si>
  <si>
    <t>AL042018</t>
  </si>
  <si>
    <t>https://www.nhc.noaa.gov/data/tcr/AL042018_Debby.pdf</t>
  </si>
  <si>
    <t>AL052018</t>
  </si>
  <si>
    <t>https://www.nhc.noaa.gov/data/tcr/AL052018_Ernesto.pdf</t>
  </si>
  <si>
    <t>AL062018</t>
  </si>
  <si>
    <t>https://www.nhc.noaa.gov/data/tcr/AL062018_Florence.pdf</t>
  </si>
  <si>
    <t>11 NC, 4 SC, 2 VA</t>
  </si>
  <si>
    <t>AL072018</t>
  </si>
  <si>
    <t>https://www.nhc.noaa.gov/data/tcr/AL072018_Gordon.pdf</t>
  </si>
  <si>
    <t>AL082018</t>
  </si>
  <si>
    <t>https://www.nhc.noaa.gov/data/tcr/AL082018_Helene.pdf</t>
  </si>
  <si>
    <t>AL092018</t>
  </si>
  <si>
    <t>https://www.nhc.noaa.gov/data/tcr/AL092018_Isaac.pdf</t>
  </si>
  <si>
    <t>AL102018</t>
  </si>
  <si>
    <t>https://www.nhc.noaa.gov/data/tcr/AL102018_Joyce.pdf</t>
  </si>
  <si>
    <t>AL112018</t>
  </si>
  <si>
    <t>https://www.nhc.noaa.gov/data/tcr/AL112018_Eleven.pdf</t>
  </si>
  <si>
    <t>AL122018</t>
  </si>
  <si>
    <t>https://www.nhc.noaa.gov/data/tcr/AL122018_Kirk.pdf</t>
  </si>
  <si>
    <t>AL132018</t>
  </si>
  <si>
    <t>https://www.nhc.noaa.gov/data/tcr/AL132018_Leslie.pdf</t>
  </si>
  <si>
    <t>AL142018</t>
  </si>
  <si>
    <t>https://www.nhc.noaa.gov/data/tcr/AL142018_Michael.pdf</t>
  </si>
  <si>
    <t>4 FL, 3 NC, 1 GA</t>
  </si>
  <si>
    <t>AL152018</t>
  </si>
  <si>
    <t>https://www.nhc.noaa.gov/data/tcr/AL152018_Nadine.pdf</t>
  </si>
  <si>
    <t>AL162018</t>
  </si>
  <si>
    <t>https://www.nhc.noaa.gov/data/tcr/AL162018_Oscar.pdf</t>
  </si>
  <si>
    <t>AL012019</t>
  </si>
  <si>
    <t>https://www.nhc.noaa.gov/data/tcr/AL012019_Andrea.pdf</t>
  </si>
  <si>
    <t>AL022019</t>
  </si>
  <si>
    <t>https://www.nhc.noaa.gov/data/tcr/AL022019_Barry.pdf</t>
  </si>
  <si>
    <t>AL032019</t>
  </si>
  <si>
    <t>https://www.nhc.noaa.gov/data/tcr/AL032019_Three.pdf</t>
  </si>
  <si>
    <t>AL042019</t>
  </si>
  <si>
    <t>https://www.nhc.noaa.gov/data/tcr/AL042019_Chantal.pdf</t>
  </si>
  <si>
    <t>AL052019</t>
  </si>
  <si>
    <t>https://www.nhc.noaa.gov/data/tcr/AL052019_Dorian.pdf</t>
  </si>
  <si>
    <t>AL062019</t>
  </si>
  <si>
    <t>https://www.nhc.noaa.gov/data/tcr/AL062019_Erin.pdf</t>
  </si>
  <si>
    <t>AL072019</t>
  </si>
  <si>
    <t>https://www.nhc.noaa.gov/data/tcr/AL072019_Fernand.pdf</t>
  </si>
  <si>
    <t>AL082019</t>
  </si>
  <si>
    <t>https://www.nhc.noaa.gov/data/tcr/AL082019_Gabrielle.pdf</t>
  </si>
  <si>
    <t>AL092019</t>
  </si>
  <si>
    <t>https://www.nhc.noaa.gov/data/tcr/AL092019_Humberto.pdf</t>
  </si>
  <si>
    <t>AL102019</t>
  </si>
  <si>
    <t>https://www.nhc.noaa.gov/data/tcr/AL102019_Jerry.pdf</t>
  </si>
  <si>
    <t>AL112019</t>
  </si>
  <si>
    <t>https://www.nhc.noaa.gov/data/tcr/AL112019_Imelda.pdf</t>
  </si>
  <si>
    <t>AL122019</t>
  </si>
  <si>
    <t>https://www.nhc.noaa.gov/data/tcr/AL122019_Karen.pdf</t>
  </si>
  <si>
    <t>AL132019</t>
  </si>
  <si>
    <t>https://www.nhc.noaa.gov/data/tcr/AL132019_Lorenzo.pdf</t>
  </si>
  <si>
    <t>1 FL, 1 RI</t>
  </si>
  <si>
    <t>4 NC, 2 NY</t>
  </si>
  <si>
    <t>AL142019</t>
  </si>
  <si>
    <t>https://www.nhc.noaa.gov/data/tcr/AL142019_Melissa.pdf</t>
  </si>
  <si>
    <t>AL152019</t>
  </si>
  <si>
    <t>https://www.nhc.noaa.gov/data/tcr/AL152019_Fifteen.pdf</t>
  </si>
  <si>
    <t>AL162019</t>
  </si>
  <si>
    <t>https://www.nhc.noaa.gov/data/tcr/AL162019_Nestor.pdf</t>
  </si>
  <si>
    <t>AL172019</t>
  </si>
  <si>
    <t>https://www.nhc.noaa.gov/data/tcr/AL172019_Olga.pdf</t>
  </si>
  <si>
    <t>AL182019</t>
  </si>
  <si>
    <t>https://www.nhc.noaa.gov/data/tcr/AL182019_Pablo.pdf</t>
  </si>
  <si>
    <t>AL192019</t>
  </si>
  <si>
    <t>https://www.nhc.noaa.gov/data/tcr/AL192019_Rebekah.pdf</t>
  </si>
  <si>
    <t>AL202019</t>
  </si>
  <si>
    <t>https://www.nhc.noaa.gov/data/tcr/AL202019_Sebastien.pdf</t>
  </si>
  <si>
    <t>AL012020</t>
  </si>
  <si>
    <t>https://www.nhc.noaa.gov/data/tcr/AL012020_Arthur.pdf</t>
  </si>
  <si>
    <t>AL022020</t>
  </si>
  <si>
    <t>https://www.nhc.noaa.gov/data/tcr/AL022020_Bertha.pdf</t>
  </si>
  <si>
    <t>AL032020</t>
  </si>
  <si>
    <t>https://www.nhc.noaa.gov/data/tcr/AL032020_Cristobal.pdf</t>
  </si>
  <si>
    <t>AL042020</t>
  </si>
  <si>
    <t>https://www.nhc.noaa.gov/data/tcr/AL042020_Dolly.pdf</t>
  </si>
  <si>
    <t>AL052020</t>
  </si>
  <si>
    <t>https://www.nhc.noaa.gov/data/tcr/AL052020_Edouard.pdf</t>
  </si>
  <si>
    <t>AL062020</t>
  </si>
  <si>
    <t>https://www.nhc.noaa.gov/data/tcr/AL062020_Fay.pdf</t>
  </si>
  <si>
    <t>1 NY, 1 NJ</t>
  </si>
  <si>
    <t>AL072020</t>
  </si>
  <si>
    <t>https://www.nhc.noaa.gov/data/tcr/AL072020_Gonzalo.pdf</t>
  </si>
  <si>
    <t>AL082020</t>
  </si>
  <si>
    <t>https://www.nhc.noaa.gov/data/tcr/AL082020_Hanna.pdf</t>
  </si>
  <si>
    <t>AL092020</t>
  </si>
  <si>
    <t>https://www.nhc.noaa.gov/data/tcr/AL092020_Isaias.pdf</t>
  </si>
  <si>
    <t>PA</t>
  </si>
  <si>
    <t>1 MD, 1 DE, 1 NY, 1 CT, 1 NH</t>
  </si>
  <si>
    <t>AL102020</t>
  </si>
  <si>
    <t>https://www.nhc.noaa.gov/data/tcr/AL102020_Ten.pdf</t>
  </si>
  <si>
    <t>AL112020</t>
  </si>
  <si>
    <t>https://www.nhc.noaa.gov/data/tcr/AL112020_Josephine.pdf</t>
  </si>
  <si>
    <t>AL122020</t>
  </si>
  <si>
    <t>https://www.nhc.noaa.gov/data/tcr/AL122020_Kyle.pdf</t>
  </si>
  <si>
    <t>AL132020</t>
  </si>
  <si>
    <t>https://www.nhc.noaa.gov/data/tcr/AL132020_Laura.pdf</t>
  </si>
  <si>
    <t>1 TX, 1 FL</t>
  </si>
  <si>
    <t>4 LA, 1 TX</t>
  </si>
  <si>
    <t>AL142020</t>
  </si>
  <si>
    <t>https://www.nhc.noaa.gov/data/tcr/AL142020_Marco.pdf</t>
  </si>
  <si>
    <t>AL152020</t>
  </si>
  <si>
    <t>https://www.nhc.noaa.gov/data/tcr/AL152020_Omar.pdf</t>
  </si>
  <si>
    <t>AL162020</t>
  </si>
  <si>
    <t>https://www.nhc.noaa.gov/data/tcr/AL162020_Nana.pdf</t>
  </si>
  <si>
    <t>AL172020</t>
  </si>
  <si>
    <t>https://www.nhc.noaa.gov/data/tcr/AL172020_Paulette.pdf</t>
  </si>
  <si>
    <t>1 SC, 1 NJ</t>
  </si>
  <si>
    <t>AL182020</t>
  </si>
  <si>
    <t>https://www.nhc.noaa.gov/data/tcr/AL182020_Rene.pdf</t>
  </si>
  <si>
    <t>AL192020</t>
  </si>
  <si>
    <t>https://www.nhc.noaa.gov/data/tcr/AL192020_Sally.pdf</t>
  </si>
  <si>
    <t>1 FL, 1 AL</t>
  </si>
  <si>
    <t>AL202020</t>
  </si>
  <si>
    <t>https://www.nhc.noaa.gov/data/tcr/AL202020_Teddy.pdf</t>
  </si>
  <si>
    <t>AL212020</t>
  </si>
  <si>
    <t>https://www.nhc.noaa.gov/data/tcr/AL212020_Vicky.pdf</t>
  </si>
  <si>
    <t>AL222020</t>
  </si>
  <si>
    <t>https://www.nhc.noaa.gov/data/tcr/AL222020_Beta.pdf</t>
  </si>
  <si>
    <t>AL232020</t>
  </si>
  <si>
    <t>https://www.nhc.noaa.gov/data/tcr/AL232020_Wilfred.pdf</t>
  </si>
  <si>
    <t>AL242020</t>
  </si>
  <si>
    <t>https://www.nhc.noaa.gov/data/tcr/AL242020_Alpha.pdf</t>
  </si>
  <si>
    <t>AL252020</t>
  </si>
  <si>
    <t>https://www.nhc.noaa.gov/data/tcr/AL252020_Gamma.pdf</t>
  </si>
  <si>
    <t>AL282020</t>
  </si>
  <si>
    <t>https://www.nhc.noaa.gov/data/tcr/AL282020_Zeta.pdf</t>
  </si>
  <si>
    <t>3 GA, 1 AL</t>
  </si>
  <si>
    <t>AL272020</t>
  </si>
  <si>
    <t>https://www.nhc.noaa.gov/data/tcr/AL272020_Epsilon.pdf</t>
  </si>
  <si>
    <t>AL292020</t>
  </si>
  <si>
    <t>https://www.nhc.noaa.gov/data/tcr/AL292020_Eta.pdf</t>
  </si>
  <si>
    <t>AL262020</t>
  </si>
  <si>
    <t>https://www.nhc.noaa.gov/data/tcr/AL262020_Delta.pdf</t>
  </si>
  <si>
    <t>AL302020</t>
  </si>
  <si>
    <t>https://www.nhc.noaa.gov/data/tcr/AL302020_Theta.pdf</t>
  </si>
  <si>
    <t>AL312020</t>
  </si>
  <si>
    <t>https://www.nhc.noaa.gov/data/tcr/AL312020_Iota.pdf</t>
  </si>
  <si>
    <t>AL012021</t>
  </si>
  <si>
    <t>https://www.nhc.noaa.gov/data/tcr/AL012021_Ana.pdf</t>
  </si>
  <si>
    <t>AL022021</t>
  </si>
  <si>
    <t>https://www.nhc.noaa.gov/data/tcr/AL022021_Bill.pdf</t>
  </si>
  <si>
    <t>AL032021</t>
  </si>
  <si>
    <t>https://www.nhc.noaa.gov/data/tcr/AL032021_Claudette.pdf</t>
  </si>
  <si>
    <t>AL042021</t>
  </si>
  <si>
    <t>https://www.nhc.noaa.gov/data/tcr/AL042021_Danny.pdf</t>
  </si>
  <si>
    <t>AL052021</t>
  </si>
  <si>
    <t>https://www.nhc.noaa.gov/data/tcr/AL052021_Elsa.pdf</t>
  </si>
  <si>
    <t>AL062021</t>
  </si>
  <si>
    <t>https://www.nhc.noaa.gov/data/tcr/AL062021_Fred.pdf</t>
  </si>
  <si>
    <t>AL072021</t>
  </si>
  <si>
    <t>https://www.nhc.noaa.gov/data/tcr/AL072021_Grace.pdf</t>
  </si>
  <si>
    <t>AL082021</t>
  </si>
  <si>
    <t>https://www.nhc.noaa.gov/data/tcr/AL082021_Henri.pdf</t>
  </si>
  <si>
    <t>AL092021</t>
  </si>
  <si>
    <t>https://www.nhc.noaa.gov/data/tcr/AL092021_Ida.pdf</t>
  </si>
  <si>
    <t>26 NJ, 16 NY, 4 PA, 2 MS, 1 MD, 1 CT</t>
  </si>
  <si>
    <t>AL102021</t>
  </si>
  <si>
    <t>https://www.nhc.noaa.gov/data/tcr/AL102021_Kate.pdf</t>
  </si>
  <si>
    <t>AL112021</t>
  </si>
  <si>
    <t>https://www.nhc.noaa.gov/data/tcr/AL112021_Julian.pdf</t>
  </si>
  <si>
    <t>AL122021</t>
  </si>
  <si>
    <t>https://www.nhc.noaa.gov/data/tcr/AL122021_Larry.pdf</t>
  </si>
  <si>
    <t>1 FL, 1 SC</t>
  </si>
  <si>
    <t>AL132021</t>
  </si>
  <si>
    <t>https://www.nhc.noaa.gov/data/tcr/AL132021_Mindy.pdf</t>
  </si>
  <si>
    <t>AL142021</t>
  </si>
  <si>
    <t>https://www.nhc.noaa.gov/data/tcr/AL142021_Nicholas.pdf</t>
  </si>
  <si>
    <t>AL152021</t>
  </si>
  <si>
    <t>https://www.nhc.noaa.gov/data/tcr/AL152021_Odette.pdf</t>
  </si>
  <si>
    <t>AL162021</t>
  </si>
  <si>
    <t>https://www.nhc.noaa.gov/data/tcr/AL162021_Peter.pdf</t>
  </si>
  <si>
    <t>AL172021</t>
  </si>
  <si>
    <t>https://www.nhc.noaa.gov/data/tcr/AL172021_Rose.pdf</t>
  </si>
  <si>
    <t>AL182021</t>
  </si>
  <si>
    <t>https://www.nhc.noaa.gov/data/tcr/AL182021_Sam.pdf</t>
  </si>
  <si>
    <t>AL192021</t>
  </si>
  <si>
    <t>https://www.nhc.noaa.gov/data/tcr/AL192021_Teresa.pdf</t>
  </si>
  <si>
    <t>AL202021</t>
  </si>
  <si>
    <t>https://www.nhc.noaa.gov/data/tcr/AL202021_Victor.pdf</t>
  </si>
  <si>
    <t>AL212021</t>
  </si>
  <si>
    <t>https://www.nhc.noaa.gov/data/tcr/AL212021_Wanda.pdf</t>
  </si>
  <si>
    <t>AL012022</t>
  </si>
  <si>
    <t>https://www.nhc.noaa.gov/data/tcr/AL012022_Alex.pdf</t>
  </si>
  <si>
    <t>AL022022</t>
  </si>
  <si>
    <t>https://www.nhc.noaa.gov/data/tcr/AL022022_EP042022_Bonnie.pdf</t>
  </si>
  <si>
    <t>AL032022</t>
  </si>
  <si>
    <t>https://www.nhc.noaa.gov/data/tcr/AL032022_Colin.pdf</t>
  </si>
  <si>
    <t>AL052022</t>
  </si>
  <si>
    <t>https://www.nhc.noaa.gov/data/tcr/AL052022_Danielle.pdf</t>
  </si>
  <si>
    <t>AL062022</t>
  </si>
  <si>
    <t>https://www.nhc.noaa.gov/data/tcr/AL062022_Earl.pdf</t>
  </si>
  <si>
    <t>AL072022</t>
  </si>
  <si>
    <t>https://www.nhc.noaa.gov/data/tcr/AL072022_Fiona.pdf</t>
  </si>
  <si>
    <t>AL082022</t>
  </si>
  <si>
    <t>https://www.nhc.noaa.gov/data/tcr/AL082022_Gaston.pdf</t>
  </si>
  <si>
    <t>AL092022</t>
  </si>
  <si>
    <t>https://www.nhc.noaa.gov/data/tcr/AL092022_Ian.pdf</t>
  </si>
  <si>
    <t xml:space="preserve">FL    </t>
  </si>
  <si>
    <t>AL102022</t>
  </si>
  <si>
    <t>https://www.nhc.noaa.gov/data/tcr/AL102022_Hermine.pdf</t>
  </si>
  <si>
    <t>AL112022</t>
  </si>
  <si>
    <t>https://www.nhc.noaa.gov/data/tcr/AL112022_Eleven.pdf</t>
  </si>
  <si>
    <t>AL122022</t>
  </si>
  <si>
    <t>https://www.nhc.noaa.gov/data/tcr/AL122022_Twelve.pdf</t>
  </si>
  <si>
    <t>AL132022</t>
  </si>
  <si>
    <t>https://www.nhc.noaa.gov/data/tcr/AL132022_EP182022_Julia.pdf</t>
  </si>
  <si>
    <t>AL142022</t>
  </si>
  <si>
    <t>https://www.nhc.noaa.gov/data/tcr/AL142022_Karl.pdf</t>
  </si>
  <si>
    <t>AL152022</t>
  </si>
  <si>
    <t>https://www.nhc.noaa.gov/data/tcr/AL152022_Lisa.pdf</t>
  </si>
  <si>
    <t>AL162022</t>
  </si>
  <si>
    <t>https://www.nhc.noaa.gov/data/tcr/AL162022_Martin.pdf</t>
  </si>
  <si>
    <t>AL172022</t>
  </si>
  <si>
    <t>https://www.nhc.noaa.gov/data/tcr/AL172022_Nicole.pdf</t>
  </si>
  <si>
    <t>AL022023</t>
  </si>
  <si>
    <t>https://www.nhc.noaa.gov/data/tcr/AL022023_Arlene.pdf</t>
  </si>
  <si>
    <t>AL032023</t>
  </si>
  <si>
    <t>https://www.nhc.noaa.gov/data/tcr/AL032023_Bret.pdf</t>
  </si>
  <si>
    <t>AL042023</t>
  </si>
  <si>
    <t>https://www.nhc.noaa.gov/data/tcr/AL042023_Cindy.pdf</t>
  </si>
  <si>
    <t>AL052023</t>
  </si>
  <si>
    <t>https://www.nhc.noaa.gov/data/tcr/AL052023_Don.pdf</t>
  </si>
  <si>
    <t>AL062023</t>
  </si>
  <si>
    <t>https://www.nhc.noaa.gov/data/tcr/AL062023_Gert.pdf</t>
  </si>
  <si>
    <t>AL072023</t>
  </si>
  <si>
    <t>https://www.nhc.noaa.gov/data/tcr/AL072023_Emily.pdf</t>
  </si>
  <si>
    <t>AL082023</t>
  </si>
  <si>
    <t>https://www.nhc.noaa.gov/data/tcr/AL082023_Franklin.pdf</t>
  </si>
  <si>
    <t>AL092023</t>
  </si>
  <si>
    <t>https://www.nhc.noaa.gov/data/tcr/AL092023_Harold.pdf</t>
  </si>
  <si>
    <t>AL102023</t>
  </si>
  <si>
    <t>https://www.nhc.noaa.gov/data/tcr/AL102023_Idalia.pdf</t>
  </si>
  <si>
    <t>3 NC, 3 NJ, 1 FL, 1 DE</t>
  </si>
  <si>
    <t>AL112023</t>
  </si>
  <si>
    <t>https://www.nhc.noaa.gov/data/tcr/AL112023_Jose.pdf</t>
  </si>
  <si>
    <t>AL122023</t>
  </si>
  <si>
    <t>https://www.nhc.noaa.gov/data/tcr/AL122023_Katia.pdf</t>
  </si>
  <si>
    <t>AL132023</t>
  </si>
  <si>
    <t>https://www.nhc.noaa.gov/data/tcr/AL132023_Lee.pdf</t>
  </si>
  <si>
    <t>AL142023</t>
  </si>
  <si>
    <t>https://www.nhc.noaa.gov/data/tcr/AL142023_Margot.pdf</t>
  </si>
  <si>
    <t>AL152023</t>
  </si>
  <si>
    <t>https://www.nhc.noaa.gov/data/tcr/AL152023_Nigel.pdf</t>
  </si>
  <si>
    <t>AL162023</t>
  </si>
  <si>
    <t>https://www.nhc.noaa.gov/data/tcr/AL162023_Ophelia.pdf</t>
  </si>
  <si>
    <t>AL172023</t>
  </si>
  <si>
    <t>https://www.nhc.noaa.gov/data/tcr/AL172023_Philippe.pdf</t>
  </si>
  <si>
    <t>AL182023</t>
  </si>
  <si>
    <t>https://www.nhc.noaa.gov/data/tcr/AL182023_Rina.pdf</t>
  </si>
  <si>
    <t>AL192023</t>
  </si>
  <si>
    <t>https://www.nhc.noaa.gov/data/tcr/AL192023_Sean.pdf</t>
  </si>
  <si>
    <t>AL202023</t>
  </si>
  <si>
    <t>https://www.nhc.noaa.gov/data/tcr/AL202023_Tammy.pdf</t>
  </si>
  <si>
    <t>AL212023</t>
  </si>
  <si>
    <t>https://www.nhc.noaa.gov/data/tcr/AL212023_Twenty-One.pdf</t>
  </si>
  <si>
    <t>AL012024</t>
  </si>
  <si>
    <t>https://www.nhc.noaa.gov/data/tcr/AL012024_Alberto.pdf</t>
  </si>
  <si>
    <t>AL022024</t>
  </si>
  <si>
    <t>https://www.nhc.noaa.gov/data/tcr/AL022024_Beryl.pdf</t>
  </si>
  <si>
    <t>4 TX, 2 VT</t>
  </si>
  <si>
    <t>5 TX, 1 LA</t>
  </si>
  <si>
    <t>AL032024</t>
  </si>
  <si>
    <t>https://www.nhc.noaa.gov/data/tcr/AL032024_Chris.pdf</t>
  </si>
  <si>
    <t>AL042024</t>
  </si>
  <si>
    <t>https://www.nhc.noaa.gov/data/tcr/AL042024_Debby.pdf</t>
  </si>
  <si>
    <t>2 FL, 1 NC, 1 PA</t>
  </si>
  <si>
    <t>2 FL, 1 GA, 1 NC, 1 WV</t>
  </si>
  <si>
    <t>AL052024</t>
  </si>
  <si>
    <t>https://www.nhc.noaa.gov/data/tcr/AL052024_Ernesto.pdf</t>
  </si>
  <si>
    <t>2 SC, 1 NC</t>
  </si>
  <si>
    <t>AL062024</t>
  </si>
  <si>
    <t>https://www.nhc.noaa.gov/data/tcr/AL062024_Francine.pdf</t>
  </si>
  <si>
    <t>AL072024</t>
  </si>
  <si>
    <t>https://www.nhc.noaa.gov/data/tcr/AL072024_Gordon.pdf</t>
  </si>
  <si>
    <t>AL092024</t>
  </si>
  <si>
    <t xml:space="preserve">https://www.nhc.noaa.gov/data/tcr/AL092024_Helene.pdf </t>
  </si>
  <si>
    <t>78 NC, 15 TN, 2 SC</t>
  </si>
  <si>
    <t>26 GA, 24 SC, 8 NC, 4 FL, 2 VA, 1 IN</t>
  </si>
  <si>
    <t>AL102024</t>
  </si>
  <si>
    <t>https://www.nhc.noaa.gov/data/tcr/AL102024_Isaac.pdf</t>
  </si>
  <si>
    <t>AL112024</t>
  </si>
  <si>
    <t>https://www.nhc.noaa.gov/data/tcr/AL112024_Joyce.pdf</t>
  </si>
  <si>
    <t>AL122024</t>
  </si>
  <si>
    <t>https://www.nhc.noaa.gov/data/tcr/AL122024_Kirk.pdf</t>
  </si>
  <si>
    <t>AL132024</t>
  </si>
  <si>
    <t>https://www.nhc.noaa.gov/data/tcr/AL132024_Leslie.pdf</t>
  </si>
  <si>
    <t>AL142024</t>
  </si>
  <si>
    <t>https://www.nhc.noaa.gov/data/tcr/AL142024_Milton.pdf</t>
  </si>
  <si>
    <t>AL152024</t>
  </si>
  <si>
    <t>https://www.nhc.noaa.gov/data/tcr/AL152024_Nadine.pdf</t>
  </si>
  <si>
    <t>AL162024</t>
  </si>
  <si>
    <t>https://www.nhc.noaa.gov/data/tcr/AL162024_Oscar.pdf</t>
  </si>
  <si>
    <t>AL172024</t>
  </si>
  <si>
    <t>https://www.nhc.noaa.gov/data/tcr/AL172024_Patty.pdf</t>
  </si>
  <si>
    <t>AL182024</t>
  </si>
  <si>
    <t>https://www.nhc.noaa.gov/data/tcr/AL182024_Rafael.pdf</t>
  </si>
  <si>
    <t>AL192024</t>
  </si>
  <si>
    <t>https://www.nhc.noaa.gov/data/tcr/AL192024_Sara.pdf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</si>
</sst>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  <scheme val="minor"/>
    </font>
    <font>
      <u/>
      <sz val="10"/>
      <color theme="10"/>
      <name val="Arial"/>
      <family val="2"/>
    </font>
    <font>
      <u/>
      <sz val="10"/>
      <color rgb="FF000000"/>
      <name val="Arial"/>
      <family val="2"/>
    </font>
    <font>
      <u/>
      <sz val="10"/>
      <color rgb="FF1155CC"/>
      <name val="Arial"/>
      <family val="2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1" applyFill="1" applyAlignment="1">
      <alignment horizontal="left" vertical="top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/>
    </xf>
    <xf numFmtId="0" fontId="4" fillId="0" borderId="0" xfId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164" fontId="8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aglefgcu-my.sharepoint.com/personal/joannem_fgcu_edu/Documents/Fatalities%20Paper/US%20CONUS%20Fatalities_ALLSTORMS%201960-2024_Dec.xlsx" TargetMode="External"/><Relationship Id="rId1" Type="http://schemas.openxmlformats.org/officeDocument/2006/relationships/externalLinkPath" Target="US%20CONUS%20Fatalities_ALLSTORMS%201960-2024_D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Fatalities"/>
      <sheetName val="Fatalities 1963-24 Single Ent"/>
      <sheetName val="Rainfall Ranked &gt;10"/>
      <sheetName val="Surge &gt;10"/>
      <sheetName val="HURDAT Query"/>
      <sheetName val="Landfall Stats"/>
      <sheetName val="Phil Data"/>
      <sheetName val="Fatalities 1963-24 Single Clean"/>
      <sheetName val="GitHub Data"/>
    </sheetNames>
    <sheetDataSet>
      <sheetData sheetId="0"/>
      <sheetData sheetId="1"/>
      <sheetData sheetId="2"/>
      <sheetData sheetId="3"/>
      <sheetData sheetId="4">
        <row r="1">
          <cell r="A1" t="str">
            <v>hurdatid</v>
          </cell>
          <cell r="B1" t="str">
            <v>storm_year</v>
          </cell>
          <cell r="C1" t="str">
            <v>storm_name</v>
          </cell>
          <cell r="D1" t="str">
            <v>max_category</v>
          </cell>
          <cell r="E1" t="str">
            <v>max_windspeed</v>
          </cell>
          <cell r="F1" t="str">
            <v>min_pressure</v>
          </cell>
        </row>
        <row r="2">
          <cell r="A2" t="str">
            <v>AL012024</v>
          </cell>
          <cell r="B2">
            <v>2024</v>
          </cell>
          <cell r="C2" t="str">
            <v>ALBERTO</v>
          </cell>
          <cell r="D2" t="str">
            <v>NA</v>
          </cell>
          <cell r="E2" t="str">
            <v>NA</v>
          </cell>
          <cell r="F2" t="str">
            <v>NA</v>
          </cell>
        </row>
        <row r="3">
          <cell r="A3" t="str">
            <v>AL022024</v>
          </cell>
          <cell r="B3">
            <v>2024</v>
          </cell>
          <cell r="C3" t="str">
            <v>BERYL</v>
          </cell>
          <cell r="D3">
            <v>5</v>
          </cell>
          <cell r="E3">
            <v>145</v>
          </cell>
          <cell r="F3">
            <v>932</v>
          </cell>
        </row>
        <row r="4">
          <cell r="A4" t="str">
            <v>AL032024</v>
          </cell>
          <cell r="B4">
            <v>2024</v>
          </cell>
          <cell r="C4" t="str">
            <v>CHRIS</v>
          </cell>
          <cell r="D4" t="str">
            <v>NA</v>
          </cell>
          <cell r="E4" t="str">
            <v>NA</v>
          </cell>
          <cell r="F4" t="str">
            <v>NA</v>
          </cell>
        </row>
        <row r="5">
          <cell r="A5" t="str">
            <v>AL042024</v>
          </cell>
          <cell r="B5">
            <v>2024</v>
          </cell>
          <cell r="C5" t="str">
            <v>DEBBY</v>
          </cell>
          <cell r="D5">
            <v>1</v>
          </cell>
          <cell r="E5">
            <v>70</v>
          </cell>
          <cell r="F5">
            <v>979</v>
          </cell>
        </row>
        <row r="6">
          <cell r="A6" t="str">
            <v>AL052024</v>
          </cell>
          <cell r="B6">
            <v>2024</v>
          </cell>
          <cell r="C6" t="str">
            <v>ERNESTO</v>
          </cell>
          <cell r="D6">
            <v>2</v>
          </cell>
          <cell r="E6">
            <v>85</v>
          </cell>
          <cell r="F6">
            <v>967</v>
          </cell>
        </row>
        <row r="7">
          <cell r="A7" t="str">
            <v>AL062024</v>
          </cell>
          <cell r="B7">
            <v>2024</v>
          </cell>
          <cell r="C7" t="str">
            <v>FRANCINE</v>
          </cell>
          <cell r="D7">
            <v>2</v>
          </cell>
          <cell r="E7">
            <v>90</v>
          </cell>
          <cell r="F7">
            <v>972</v>
          </cell>
        </row>
        <row r="8">
          <cell r="A8" t="str">
            <v>AL072024</v>
          </cell>
          <cell r="B8">
            <v>2024</v>
          </cell>
          <cell r="C8" t="str">
            <v>GORDON</v>
          </cell>
          <cell r="D8" t="str">
            <v>NA</v>
          </cell>
          <cell r="E8" t="str">
            <v>NA</v>
          </cell>
          <cell r="F8" t="str">
            <v>NA</v>
          </cell>
        </row>
        <row r="9">
          <cell r="A9" t="str">
            <v>AL092024</v>
          </cell>
          <cell r="B9">
            <v>2024</v>
          </cell>
          <cell r="C9" t="str">
            <v>HELENE</v>
          </cell>
          <cell r="D9">
            <v>4</v>
          </cell>
          <cell r="E9">
            <v>120</v>
          </cell>
          <cell r="F9">
            <v>939</v>
          </cell>
        </row>
        <row r="10">
          <cell r="A10" t="str">
            <v>AL102024</v>
          </cell>
          <cell r="B10">
            <v>2024</v>
          </cell>
          <cell r="C10" t="str">
            <v>ISAAC</v>
          </cell>
          <cell r="D10">
            <v>2</v>
          </cell>
          <cell r="E10">
            <v>90</v>
          </cell>
          <cell r="F10">
            <v>963</v>
          </cell>
        </row>
        <row r="11">
          <cell r="A11" t="str">
            <v>AL112024</v>
          </cell>
          <cell r="B11">
            <v>2024</v>
          </cell>
          <cell r="C11" t="str">
            <v>JOYCE</v>
          </cell>
          <cell r="D11" t="str">
            <v>NA</v>
          </cell>
          <cell r="E11" t="str">
            <v>NA</v>
          </cell>
          <cell r="F11" t="str">
            <v>NA</v>
          </cell>
        </row>
        <row r="12">
          <cell r="A12" t="str">
            <v>AL122024</v>
          </cell>
          <cell r="B12">
            <v>2024</v>
          </cell>
          <cell r="C12" t="str">
            <v>KIRK</v>
          </cell>
          <cell r="D12">
            <v>4</v>
          </cell>
          <cell r="E12">
            <v>130</v>
          </cell>
          <cell r="F12">
            <v>928</v>
          </cell>
        </row>
        <row r="13">
          <cell r="A13" t="str">
            <v>AL132024</v>
          </cell>
          <cell r="B13">
            <v>2024</v>
          </cell>
          <cell r="C13" t="str">
            <v>LESLIE</v>
          </cell>
          <cell r="D13">
            <v>2</v>
          </cell>
          <cell r="E13">
            <v>90</v>
          </cell>
          <cell r="F13">
            <v>970</v>
          </cell>
        </row>
        <row r="14">
          <cell r="A14" t="str">
            <v>AL142024</v>
          </cell>
          <cell r="B14">
            <v>2024</v>
          </cell>
          <cell r="C14" t="str">
            <v>MILTON</v>
          </cell>
          <cell r="D14">
            <v>5</v>
          </cell>
          <cell r="E14">
            <v>155</v>
          </cell>
          <cell r="F14">
            <v>895</v>
          </cell>
        </row>
        <row r="15">
          <cell r="A15" t="str">
            <v>AL152024</v>
          </cell>
          <cell r="B15">
            <v>2024</v>
          </cell>
          <cell r="C15" t="str">
            <v>NADINE</v>
          </cell>
          <cell r="D15" t="str">
            <v>NA</v>
          </cell>
          <cell r="E15" t="str">
            <v>NA</v>
          </cell>
          <cell r="F15" t="str">
            <v>NA</v>
          </cell>
        </row>
        <row r="16">
          <cell r="A16" t="str">
            <v>AL162024</v>
          </cell>
          <cell r="B16">
            <v>2024</v>
          </cell>
          <cell r="C16" t="str">
            <v>OSCAR</v>
          </cell>
          <cell r="D16">
            <v>1</v>
          </cell>
          <cell r="E16">
            <v>75</v>
          </cell>
          <cell r="F16">
            <v>984</v>
          </cell>
        </row>
        <row r="17">
          <cell r="A17" t="str">
            <v>AL172024</v>
          </cell>
          <cell r="B17">
            <v>2024</v>
          </cell>
          <cell r="C17" t="str">
            <v>PATTY</v>
          </cell>
          <cell r="D17" t="str">
            <v>NA</v>
          </cell>
          <cell r="E17" t="str">
            <v>NA</v>
          </cell>
          <cell r="F17" t="str">
            <v>NA</v>
          </cell>
        </row>
        <row r="18">
          <cell r="A18" t="str">
            <v>AL182024</v>
          </cell>
          <cell r="B18">
            <v>2024</v>
          </cell>
          <cell r="C18" t="str">
            <v>RAFAEL</v>
          </cell>
          <cell r="D18">
            <v>3</v>
          </cell>
          <cell r="E18">
            <v>105</v>
          </cell>
          <cell r="F18">
            <v>954</v>
          </cell>
        </row>
        <row r="19">
          <cell r="A19" t="str">
            <v>AL192024</v>
          </cell>
          <cell r="B19">
            <v>2024</v>
          </cell>
          <cell r="C19" t="str">
            <v>SARA</v>
          </cell>
          <cell r="D19" t="str">
            <v>NA</v>
          </cell>
          <cell r="E19" t="str">
            <v>NA</v>
          </cell>
          <cell r="F19" t="str">
            <v>NA</v>
          </cell>
        </row>
        <row r="20">
          <cell r="A20" t="str">
            <v>AL022023</v>
          </cell>
          <cell r="B20">
            <v>2023</v>
          </cell>
          <cell r="C20" t="str">
            <v>ARLENE</v>
          </cell>
          <cell r="D20" t="str">
            <v>NA</v>
          </cell>
          <cell r="E20" t="str">
            <v>NA</v>
          </cell>
          <cell r="F20" t="str">
            <v>NA</v>
          </cell>
        </row>
        <row r="21">
          <cell r="A21" t="str">
            <v>AL032023</v>
          </cell>
          <cell r="B21">
            <v>2023</v>
          </cell>
          <cell r="C21" t="str">
            <v>BRET</v>
          </cell>
          <cell r="D21" t="str">
            <v>NA</v>
          </cell>
          <cell r="E21" t="str">
            <v>NA</v>
          </cell>
          <cell r="F21" t="str">
            <v>NA</v>
          </cell>
        </row>
        <row r="22">
          <cell r="A22" t="str">
            <v>AL042023</v>
          </cell>
          <cell r="B22">
            <v>2023</v>
          </cell>
          <cell r="C22" t="str">
            <v>CINDY</v>
          </cell>
          <cell r="D22" t="str">
            <v>NA</v>
          </cell>
          <cell r="E22" t="str">
            <v>NA</v>
          </cell>
          <cell r="F22" t="str">
            <v>NA</v>
          </cell>
        </row>
        <row r="23">
          <cell r="A23" t="str">
            <v>AL052023</v>
          </cell>
          <cell r="B23">
            <v>2023</v>
          </cell>
          <cell r="C23" t="str">
            <v>DON</v>
          </cell>
          <cell r="D23">
            <v>1</v>
          </cell>
          <cell r="E23">
            <v>65</v>
          </cell>
          <cell r="F23">
            <v>986</v>
          </cell>
        </row>
        <row r="24">
          <cell r="A24" t="str">
            <v>AL072023</v>
          </cell>
          <cell r="B24">
            <v>2023</v>
          </cell>
          <cell r="C24" t="str">
            <v>EMILY</v>
          </cell>
          <cell r="D24" t="str">
            <v>NA</v>
          </cell>
          <cell r="E24" t="str">
            <v>NA</v>
          </cell>
          <cell r="F24" t="str">
            <v>NA</v>
          </cell>
        </row>
        <row r="25">
          <cell r="A25" t="str">
            <v>AL082023</v>
          </cell>
          <cell r="B25">
            <v>2023</v>
          </cell>
          <cell r="C25" t="str">
            <v>FRANKLIN</v>
          </cell>
          <cell r="D25">
            <v>4</v>
          </cell>
          <cell r="E25">
            <v>130</v>
          </cell>
          <cell r="F25">
            <v>926</v>
          </cell>
        </row>
        <row r="26">
          <cell r="A26" t="str">
            <v>AL062023</v>
          </cell>
          <cell r="B26">
            <v>2023</v>
          </cell>
          <cell r="C26" t="str">
            <v>GERT</v>
          </cell>
          <cell r="D26" t="str">
            <v>NA</v>
          </cell>
          <cell r="E26" t="str">
            <v>NA</v>
          </cell>
          <cell r="F26" t="str">
            <v>NA</v>
          </cell>
        </row>
        <row r="27">
          <cell r="A27" t="str">
            <v>AL092023</v>
          </cell>
          <cell r="B27">
            <v>2023</v>
          </cell>
          <cell r="C27" t="str">
            <v>HAROLD</v>
          </cell>
          <cell r="D27" t="str">
            <v>NA</v>
          </cell>
          <cell r="E27" t="str">
            <v>NA</v>
          </cell>
          <cell r="F27" t="str">
            <v>NA</v>
          </cell>
        </row>
        <row r="28">
          <cell r="A28" t="str">
            <v>AL102023</v>
          </cell>
          <cell r="B28">
            <v>2023</v>
          </cell>
          <cell r="C28" t="str">
            <v>IDALIA</v>
          </cell>
          <cell r="D28">
            <v>4</v>
          </cell>
          <cell r="E28">
            <v>115</v>
          </cell>
          <cell r="F28">
            <v>942</v>
          </cell>
        </row>
        <row r="29">
          <cell r="A29" t="str">
            <v>AL112023</v>
          </cell>
          <cell r="B29">
            <v>2023</v>
          </cell>
          <cell r="C29" t="str">
            <v>JOSE</v>
          </cell>
          <cell r="D29" t="str">
            <v>NA</v>
          </cell>
          <cell r="E29" t="str">
            <v>NA</v>
          </cell>
          <cell r="F29" t="str">
            <v>NA</v>
          </cell>
        </row>
        <row r="30">
          <cell r="A30" t="str">
            <v>AL122023</v>
          </cell>
          <cell r="B30">
            <v>2023</v>
          </cell>
          <cell r="C30" t="str">
            <v>KATIA</v>
          </cell>
          <cell r="D30" t="str">
            <v>NA</v>
          </cell>
          <cell r="E30" t="str">
            <v>NA</v>
          </cell>
          <cell r="F30" t="str">
            <v>NA</v>
          </cell>
        </row>
        <row r="31">
          <cell r="A31" t="str">
            <v>AL132023</v>
          </cell>
          <cell r="B31">
            <v>2023</v>
          </cell>
          <cell r="C31" t="str">
            <v>LEE</v>
          </cell>
          <cell r="D31">
            <v>5</v>
          </cell>
          <cell r="E31">
            <v>145</v>
          </cell>
          <cell r="F31">
            <v>926</v>
          </cell>
        </row>
        <row r="32">
          <cell r="A32" t="str">
            <v>AL142023</v>
          </cell>
          <cell r="B32">
            <v>2023</v>
          </cell>
          <cell r="C32" t="str">
            <v>MARGOT</v>
          </cell>
          <cell r="D32">
            <v>1</v>
          </cell>
          <cell r="E32">
            <v>80</v>
          </cell>
          <cell r="F32">
            <v>969</v>
          </cell>
        </row>
        <row r="33">
          <cell r="A33" t="str">
            <v>AL152023</v>
          </cell>
          <cell r="B33">
            <v>2023</v>
          </cell>
          <cell r="C33" t="str">
            <v>NIGEL</v>
          </cell>
          <cell r="D33">
            <v>2</v>
          </cell>
          <cell r="E33">
            <v>85</v>
          </cell>
          <cell r="F33">
            <v>971</v>
          </cell>
        </row>
        <row r="34">
          <cell r="A34" t="str">
            <v>AL162023</v>
          </cell>
          <cell r="B34">
            <v>2023</v>
          </cell>
          <cell r="C34" t="str">
            <v>OPHELIA</v>
          </cell>
          <cell r="D34" t="str">
            <v>NA</v>
          </cell>
          <cell r="E34" t="str">
            <v>NA</v>
          </cell>
          <cell r="F34" t="str">
            <v>NA</v>
          </cell>
        </row>
        <row r="35">
          <cell r="A35" t="str">
            <v>AL172023</v>
          </cell>
          <cell r="B35">
            <v>2023</v>
          </cell>
          <cell r="C35" t="str">
            <v>PHILIPPE</v>
          </cell>
          <cell r="D35" t="str">
            <v>NA</v>
          </cell>
          <cell r="E35" t="str">
            <v>NA</v>
          </cell>
          <cell r="F35" t="str">
            <v>NA</v>
          </cell>
        </row>
        <row r="36">
          <cell r="A36" t="str">
            <v>AL182023</v>
          </cell>
          <cell r="B36">
            <v>2023</v>
          </cell>
          <cell r="C36" t="str">
            <v>RINA</v>
          </cell>
          <cell r="D36" t="str">
            <v>NA</v>
          </cell>
          <cell r="E36" t="str">
            <v>NA</v>
          </cell>
          <cell r="F36" t="str">
            <v>NA</v>
          </cell>
        </row>
        <row r="37">
          <cell r="A37" t="str">
            <v>AL192023</v>
          </cell>
          <cell r="B37">
            <v>2023</v>
          </cell>
          <cell r="C37" t="str">
            <v>SEAN</v>
          </cell>
          <cell r="D37" t="str">
            <v>NA</v>
          </cell>
          <cell r="E37" t="str">
            <v>NA</v>
          </cell>
          <cell r="F37" t="str">
            <v>NA</v>
          </cell>
        </row>
        <row r="38">
          <cell r="A38" t="str">
            <v>AL012023</v>
          </cell>
          <cell r="B38">
            <v>2023</v>
          </cell>
          <cell r="C38" t="str">
            <v>STORM 1</v>
          </cell>
          <cell r="D38" t="str">
            <v>NA</v>
          </cell>
          <cell r="E38" t="str">
            <v>NA</v>
          </cell>
          <cell r="F38" t="str">
            <v>NA</v>
          </cell>
        </row>
        <row r="39">
          <cell r="A39" t="str">
            <v>AL202023</v>
          </cell>
          <cell r="B39">
            <v>2023</v>
          </cell>
          <cell r="C39" t="str">
            <v>TAMMY</v>
          </cell>
          <cell r="D39">
            <v>2</v>
          </cell>
          <cell r="E39">
            <v>95</v>
          </cell>
          <cell r="F39">
            <v>965</v>
          </cell>
        </row>
        <row r="40">
          <cell r="A40" t="str">
            <v>AL212023</v>
          </cell>
          <cell r="B40">
            <v>2023</v>
          </cell>
          <cell r="C40" t="str">
            <v>TWENTY-ONE</v>
          </cell>
          <cell r="D40" t="str">
            <v>NA</v>
          </cell>
          <cell r="E40" t="str">
            <v>NA</v>
          </cell>
          <cell r="F40" t="str">
            <v>NA</v>
          </cell>
        </row>
        <row r="41">
          <cell r="A41" t="str">
            <v>AL012022</v>
          </cell>
          <cell r="B41">
            <v>2022</v>
          </cell>
          <cell r="C41" t="str">
            <v>ALEX</v>
          </cell>
          <cell r="D41" t="str">
            <v>NA</v>
          </cell>
          <cell r="E41" t="str">
            <v>NA</v>
          </cell>
          <cell r="F41" t="str">
            <v>NA</v>
          </cell>
        </row>
        <row r="42">
          <cell r="A42" t="str">
            <v>AL022022</v>
          </cell>
          <cell r="B42">
            <v>2022</v>
          </cell>
          <cell r="C42" t="str">
            <v>BONNIE</v>
          </cell>
          <cell r="D42">
            <v>3</v>
          </cell>
          <cell r="E42">
            <v>100</v>
          </cell>
          <cell r="F42">
            <v>964</v>
          </cell>
        </row>
        <row r="43">
          <cell r="A43" t="str">
            <v>AL032022</v>
          </cell>
          <cell r="B43">
            <v>2022</v>
          </cell>
          <cell r="C43" t="str">
            <v>COLIN</v>
          </cell>
          <cell r="D43" t="str">
            <v>NA</v>
          </cell>
          <cell r="E43" t="str">
            <v>NA</v>
          </cell>
          <cell r="F43" t="str">
            <v>NA</v>
          </cell>
        </row>
        <row r="44">
          <cell r="A44" t="str">
            <v>AL052022</v>
          </cell>
          <cell r="B44">
            <v>2022</v>
          </cell>
          <cell r="C44" t="str">
            <v>DANIELLE</v>
          </cell>
          <cell r="D44">
            <v>1</v>
          </cell>
          <cell r="E44">
            <v>75</v>
          </cell>
          <cell r="F44">
            <v>972</v>
          </cell>
        </row>
        <row r="45">
          <cell r="A45" t="str">
            <v>AL062022</v>
          </cell>
          <cell r="B45">
            <v>2022</v>
          </cell>
          <cell r="C45" t="str">
            <v>EARL</v>
          </cell>
          <cell r="D45">
            <v>2</v>
          </cell>
          <cell r="E45">
            <v>95</v>
          </cell>
          <cell r="F45">
            <v>948</v>
          </cell>
        </row>
        <row r="46">
          <cell r="A46" t="str">
            <v>AL112022</v>
          </cell>
          <cell r="B46">
            <v>2022</v>
          </cell>
          <cell r="C46" t="str">
            <v>ELEVEN</v>
          </cell>
          <cell r="D46" t="str">
            <v>NA</v>
          </cell>
          <cell r="E46" t="str">
            <v>NA</v>
          </cell>
          <cell r="F46" t="str">
            <v>NA</v>
          </cell>
        </row>
        <row r="47">
          <cell r="A47" t="str">
            <v>AL072022</v>
          </cell>
          <cell r="B47">
            <v>2022</v>
          </cell>
          <cell r="C47" t="str">
            <v>FIONA</v>
          </cell>
          <cell r="D47">
            <v>4</v>
          </cell>
          <cell r="E47">
            <v>120</v>
          </cell>
          <cell r="F47">
            <v>931</v>
          </cell>
        </row>
        <row r="48">
          <cell r="A48" t="str">
            <v>AL082022</v>
          </cell>
          <cell r="B48">
            <v>2022</v>
          </cell>
          <cell r="C48" t="str">
            <v>GASTON</v>
          </cell>
          <cell r="D48" t="str">
            <v>NA</v>
          </cell>
          <cell r="E48" t="str">
            <v>NA</v>
          </cell>
          <cell r="F48" t="str">
            <v>NA</v>
          </cell>
        </row>
        <row r="49">
          <cell r="A49" t="str">
            <v>AL102022</v>
          </cell>
          <cell r="B49">
            <v>2022</v>
          </cell>
          <cell r="C49" t="str">
            <v>HERMINE</v>
          </cell>
          <cell r="D49" t="str">
            <v>NA</v>
          </cell>
          <cell r="E49" t="str">
            <v>NA</v>
          </cell>
          <cell r="F49" t="str">
            <v>NA</v>
          </cell>
        </row>
        <row r="50">
          <cell r="A50" t="str">
            <v>AL092022</v>
          </cell>
          <cell r="B50">
            <v>2022</v>
          </cell>
          <cell r="C50" t="str">
            <v>IAN</v>
          </cell>
          <cell r="D50">
            <v>5</v>
          </cell>
          <cell r="E50">
            <v>140</v>
          </cell>
          <cell r="F50">
            <v>937</v>
          </cell>
        </row>
        <row r="51">
          <cell r="A51" t="str">
            <v>AL132022</v>
          </cell>
          <cell r="B51">
            <v>2022</v>
          </cell>
          <cell r="C51" t="str">
            <v>JULIA</v>
          </cell>
          <cell r="D51">
            <v>1</v>
          </cell>
          <cell r="E51">
            <v>75</v>
          </cell>
          <cell r="F51">
            <v>982</v>
          </cell>
        </row>
        <row r="52">
          <cell r="A52" t="str">
            <v>AL142022</v>
          </cell>
          <cell r="B52">
            <v>2022</v>
          </cell>
          <cell r="C52" t="str">
            <v>KARL</v>
          </cell>
          <cell r="D52" t="str">
            <v>NA</v>
          </cell>
          <cell r="E52" t="str">
            <v>NA</v>
          </cell>
          <cell r="F52" t="str">
            <v>NA</v>
          </cell>
        </row>
        <row r="53">
          <cell r="A53" t="str">
            <v>AL152022</v>
          </cell>
          <cell r="B53">
            <v>2022</v>
          </cell>
          <cell r="C53" t="str">
            <v>LISA</v>
          </cell>
          <cell r="D53">
            <v>1</v>
          </cell>
          <cell r="E53">
            <v>80</v>
          </cell>
          <cell r="F53">
            <v>985</v>
          </cell>
        </row>
        <row r="54">
          <cell r="A54" t="str">
            <v>AL162022</v>
          </cell>
          <cell r="B54">
            <v>2022</v>
          </cell>
          <cell r="C54" t="str">
            <v>MARTIN</v>
          </cell>
          <cell r="D54">
            <v>1</v>
          </cell>
          <cell r="E54">
            <v>75</v>
          </cell>
          <cell r="F54">
            <v>965</v>
          </cell>
        </row>
        <row r="55">
          <cell r="A55" t="str">
            <v>AL172022</v>
          </cell>
          <cell r="B55">
            <v>2022</v>
          </cell>
          <cell r="C55" t="str">
            <v>NICOLE</v>
          </cell>
          <cell r="D55">
            <v>1</v>
          </cell>
          <cell r="E55">
            <v>65</v>
          </cell>
          <cell r="F55">
            <v>980</v>
          </cell>
        </row>
        <row r="56">
          <cell r="A56" t="str">
            <v>AL122022</v>
          </cell>
          <cell r="B56">
            <v>2022</v>
          </cell>
          <cell r="C56" t="str">
            <v>TWELVE</v>
          </cell>
          <cell r="D56" t="str">
            <v>NA</v>
          </cell>
          <cell r="E56" t="str">
            <v>NA</v>
          </cell>
          <cell r="F56" t="str">
            <v>NA</v>
          </cell>
        </row>
        <row r="57">
          <cell r="A57" t="str">
            <v>AL012021</v>
          </cell>
          <cell r="B57">
            <v>2021</v>
          </cell>
          <cell r="C57" t="str">
            <v>ANA</v>
          </cell>
          <cell r="D57" t="str">
            <v>NA</v>
          </cell>
          <cell r="E57" t="str">
            <v>NA</v>
          </cell>
          <cell r="F57" t="str">
            <v>NA</v>
          </cell>
        </row>
        <row r="58">
          <cell r="A58" t="str">
            <v>AL022021</v>
          </cell>
          <cell r="B58">
            <v>2021</v>
          </cell>
          <cell r="C58" t="str">
            <v>BILL</v>
          </cell>
          <cell r="D58" t="str">
            <v>NA</v>
          </cell>
          <cell r="E58" t="str">
            <v>NA</v>
          </cell>
          <cell r="F58" t="str">
            <v>NA</v>
          </cell>
        </row>
        <row r="59">
          <cell r="A59" t="str">
            <v>AL032021</v>
          </cell>
          <cell r="B59">
            <v>2021</v>
          </cell>
          <cell r="C59" t="str">
            <v>CLAUDETTE</v>
          </cell>
          <cell r="D59" t="str">
            <v>NA</v>
          </cell>
          <cell r="E59" t="str">
            <v>NA</v>
          </cell>
          <cell r="F59" t="str">
            <v>NA</v>
          </cell>
        </row>
        <row r="60">
          <cell r="A60" t="str">
            <v>AL042021</v>
          </cell>
          <cell r="B60">
            <v>2021</v>
          </cell>
          <cell r="C60" t="str">
            <v>DANNY</v>
          </cell>
          <cell r="D60" t="str">
            <v>NA</v>
          </cell>
          <cell r="E60" t="str">
            <v>NA</v>
          </cell>
          <cell r="F60" t="str">
            <v>NA</v>
          </cell>
        </row>
        <row r="61">
          <cell r="A61" t="str">
            <v>AL052021</v>
          </cell>
          <cell r="B61">
            <v>2021</v>
          </cell>
          <cell r="C61" t="str">
            <v>ELSA</v>
          </cell>
          <cell r="D61">
            <v>1</v>
          </cell>
          <cell r="E61">
            <v>75</v>
          </cell>
          <cell r="F61">
            <v>991</v>
          </cell>
        </row>
        <row r="62">
          <cell r="A62" t="str">
            <v>AL062021</v>
          </cell>
          <cell r="B62">
            <v>2021</v>
          </cell>
          <cell r="C62" t="str">
            <v>FRED</v>
          </cell>
          <cell r="D62" t="str">
            <v>NA</v>
          </cell>
          <cell r="E62" t="str">
            <v>NA</v>
          </cell>
          <cell r="F62" t="str">
            <v>NA</v>
          </cell>
        </row>
        <row r="63">
          <cell r="A63" t="str">
            <v>AL072021</v>
          </cell>
          <cell r="B63">
            <v>2021</v>
          </cell>
          <cell r="C63" t="str">
            <v>GRACE</v>
          </cell>
          <cell r="D63">
            <v>3</v>
          </cell>
          <cell r="E63">
            <v>105</v>
          </cell>
          <cell r="F63">
            <v>967</v>
          </cell>
        </row>
        <row r="64">
          <cell r="A64" t="str">
            <v>AL082021</v>
          </cell>
          <cell r="B64">
            <v>2021</v>
          </cell>
          <cell r="C64" t="str">
            <v>HENRI</v>
          </cell>
          <cell r="D64">
            <v>1</v>
          </cell>
          <cell r="E64">
            <v>65</v>
          </cell>
          <cell r="F64">
            <v>986</v>
          </cell>
        </row>
        <row r="65">
          <cell r="A65" t="str">
            <v>AL092021</v>
          </cell>
          <cell r="B65">
            <v>2021</v>
          </cell>
          <cell r="C65" t="str">
            <v>IDA</v>
          </cell>
          <cell r="D65">
            <v>4</v>
          </cell>
          <cell r="E65">
            <v>130</v>
          </cell>
          <cell r="F65">
            <v>929</v>
          </cell>
        </row>
        <row r="66">
          <cell r="A66" t="str">
            <v>AL112021</v>
          </cell>
          <cell r="B66">
            <v>2021</v>
          </cell>
          <cell r="C66" t="str">
            <v>JULIAN</v>
          </cell>
          <cell r="D66" t="str">
            <v>NA</v>
          </cell>
          <cell r="E66" t="str">
            <v>NA</v>
          </cell>
          <cell r="F66" t="str">
            <v>NA</v>
          </cell>
        </row>
        <row r="67">
          <cell r="A67" t="str">
            <v>AL102021</v>
          </cell>
          <cell r="B67">
            <v>2021</v>
          </cell>
          <cell r="C67" t="str">
            <v>KATE</v>
          </cell>
          <cell r="D67" t="str">
            <v>NA</v>
          </cell>
          <cell r="E67" t="str">
            <v>NA</v>
          </cell>
          <cell r="F67" t="str">
            <v>NA</v>
          </cell>
        </row>
        <row r="68">
          <cell r="A68" t="str">
            <v>AL122021</v>
          </cell>
          <cell r="B68">
            <v>2021</v>
          </cell>
          <cell r="C68" t="str">
            <v>LARRY</v>
          </cell>
          <cell r="D68">
            <v>3</v>
          </cell>
          <cell r="E68">
            <v>110</v>
          </cell>
          <cell r="F68">
            <v>953</v>
          </cell>
        </row>
        <row r="69">
          <cell r="A69" t="str">
            <v>AL132021</v>
          </cell>
          <cell r="B69">
            <v>2021</v>
          </cell>
          <cell r="C69" t="str">
            <v>MINDY</v>
          </cell>
          <cell r="D69" t="str">
            <v>NA</v>
          </cell>
          <cell r="E69" t="str">
            <v>NA</v>
          </cell>
          <cell r="F69" t="str">
            <v>NA</v>
          </cell>
        </row>
        <row r="70">
          <cell r="A70" t="str">
            <v>AL142021</v>
          </cell>
          <cell r="B70">
            <v>2021</v>
          </cell>
          <cell r="C70" t="str">
            <v>NICHOLAS</v>
          </cell>
          <cell r="D70">
            <v>1</v>
          </cell>
          <cell r="E70">
            <v>65</v>
          </cell>
          <cell r="F70">
            <v>988</v>
          </cell>
        </row>
        <row r="71">
          <cell r="A71" t="str">
            <v>AL152021</v>
          </cell>
          <cell r="B71">
            <v>2021</v>
          </cell>
          <cell r="C71" t="str">
            <v>ODETTE</v>
          </cell>
          <cell r="D71" t="str">
            <v>NA</v>
          </cell>
          <cell r="E71" t="str">
            <v>NA</v>
          </cell>
          <cell r="F71" t="str">
            <v>NA</v>
          </cell>
        </row>
        <row r="72">
          <cell r="A72" t="str">
            <v>AL162021</v>
          </cell>
          <cell r="B72">
            <v>2021</v>
          </cell>
          <cell r="C72" t="str">
            <v>PETER</v>
          </cell>
          <cell r="D72" t="str">
            <v>NA</v>
          </cell>
          <cell r="E72" t="str">
            <v>NA</v>
          </cell>
          <cell r="F72" t="str">
            <v>NA</v>
          </cell>
        </row>
        <row r="73">
          <cell r="A73" t="str">
            <v>AL172021</v>
          </cell>
          <cell r="B73">
            <v>2021</v>
          </cell>
          <cell r="C73" t="str">
            <v>ROSE</v>
          </cell>
          <cell r="D73" t="str">
            <v>NA</v>
          </cell>
          <cell r="E73" t="str">
            <v>NA</v>
          </cell>
          <cell r="F73" t="str">
            <v>NA</v>
          </cell>
        </row>
        <row r="74">
          <cell r="A74" t="str">
            <v>AL182021</v>
          </cell>
          <cell r="B74">
            <v>2021</v>
          </cell>
          <cell r="C74" t="str">
            <v>SAM</v>
          </cell>
          <cell r="D74">
            <v>4</v>
          </cell>
          <cell r="E74">
            <v>135</v>
          </cell>
          <cell r="F74">
            <v>927</v>
          </cell>
        </row>
        <row r="75">
          <cell r="A75" t="str">
            <v>AL192021</v>
          </cell>
          <cell r="B75">
            <v>2021</v>
          </cell>
          <cell r="C75" t="str">
            <v>TERESA</v>
          </cell>
          <cell r="D75" t="str">
            <v>NA</v>
          </cell>
          <cell r="E75" t="str">
            <v>NA</v>
          </cell>
          <cell r="F75" t="str">
            <v>NA</v>
          </cell>
        </row>
        <row r="76">
          <cell r="A76" t="str">
            <v>AL202021</v>
          </cell>
          <cell r="B76">
            <v>2021</v>
          </cell>
          <cell r="C76" t="str">
            <v>VICTOR</v>
          </cell>
          <cell r="D76" t="str">
            <v>NA</v>
          </cell>
          <cell r="E76" t="str">
            <v>NA</v>
          </cell>
          <cell r="F76" t="str">
            <v>NA</v>
          </cell>
        </row>
        <row r="77">
          <cell r="A77" t="str">
            <v>AL212021</v>
          </cell>
          <cell r="B77">
            <v>2021</v>
          </cell>
          <cell r="C77" t="str">
            <v>WANDA</v>
          </cell>
          <cell r="D77" t="str">
            <v>NA</v>
          </cell>
          <cell r="E77" t="str">
            <v>NA</v>
          </cell>
          <cell r="F77" t="str">
            <v>NA</v>
          </cell>
        </row>
        <row r="78">
          <cell r="A78" t="str">
            <v>AL242020</v>
          </cell>
          <cell r="B78">
            <v>2020</v>
          </cell>
          <cell r="C78" t="str">
            <v>ALPHA</v>
          </cell>
          <cell r="D78" t="str">
            <v>NA</v>
          </cell>
          <cell r="E78" t="str">
            <v>NA</v>
          </cell>
          <cell r="F78" t="str">
            <v>NA</v>
          </cell>
        </row>
        <row r="79">
          <cell r="A79" t="str">
            <v>AL012020</v>
          </cell>
          <cell r="B79">
            <v>2020</v>
          </cell>
          <cell r="C79" t="str">
            <v>ARTHUR</v>
          </cell>
          <cell r="D79" t="str">
            <v>NA</v>
          </cell>
          <cell r="E79" t="str">
            <v>NA</v>
          </cell>
          <cell r="F79" t="str">
            <v>NA</v>
          </cell>
        </row>
        <row r="80">
          <cell r="A80" t="str">
            <v>AL022020</v>
          </cell>
          <cell r="B80">
            <v>2020</v>
          </cell>
          <cell r="C80" t="str">
            <v>BERTHA</v>
          </cell>
          <cell r="D80" t="str">
            <v>NA</v>
          </cell>
          <cell r="E80" t="str">
            <v>NA</v>
          </cell>
          <cell r="F80" t="str">
            <v>NA</v>
          </cell>
        </row>
        <row r="81">
          <cell r="A81" t="str">
            <v>AL222020</v>
          </cell>
          <cell r="B81">
            <v>2020</v>
          </cell>
          <cell r="C81" t="str">
            <v>BETA</v>
          </cell>
          <cell r="D81" t="str">
            <v>NA</v>
          </cell>
          <cell r="E81" t="str">
            <v>NA</v>
          </cell>
          <cell r="F81" t="str">
            <v>NA</v>
          </cell>
        </row>
        <row r="82">
          <cell r="A82" t="str">
            <v>AL032020</v>
          </cell>
          <cell r="B82">
            <v>2020</v>
          </cell>
          <cell r="C82" t="str">
            <v>CRISTOBAL</v>
          </cell>
          <cell r="D82" t="str">
            <v>NA</v>
          </cell>
          <cell r="E82" t="str">
            <v>NA</v>
          </cell>
          <cell r="F82" t="str">
            <v>NA</v>
          </cell>
        </row>
        <row r="83">
          <cell r="A83" t="str">
            <v>AL262020</v>
          </cell>
          <cell r="B83">
            <v>2020</v>
          </cell>
          <cell r="C83" t="str">
            <v>DELTA</v>
          </cell>
          <cell r="D83">
            <v>4</v>
          </cell>
          <cell r="E83">
            <v>120</v>
          </cell>
          <cell r="F83">
            <v>953</v>
          </cell>
        </row>
        <row r="84">
          <cell r="A84" t="str">
            <v>AL042020</v>
          </cell>
          <cell r="B84">
            <v>2020</v>
          </cell>
          <cell r="C84" t="str">
            <v>DOLLY</v>
          </cell>
          <cell r="D84" t="str">
            <v>NA</v>
          </cell>
          <cell r="E84" t="str">
            <v>NA</v>
          </cell>
          <cell r="F84" t="str">
            <v>NA</v>
          </cell>
        </row>
        <row r="85">
          <cell r="A85" t="str">
            <v>AL052020</v>
          </cell>
          <cell r="B85">
            <v>2020</v>
          </cell>
          <cell r="C85" t="str">
            <v>EDOUARD</v>
          </cell>
          <cell r="D85" t="str">
            <v>NA</v>
          </cell>
          <cell r="E85" t="str">
            <v>NA</v>
          </cell>
          <cell r="F85" t="str">
            <v>NA</v>
          </cell>
        </row>
        <row r="86">
          <cell r="A86" t="str">
            <v>AL272020</v>
          </cell>
          <cell r="B86">
            <v>2020</v>
          </cell>
          <cell r="C86" t="str">
            <v>EPSILON</v>
          </cell>
          <cell r="D86">
            <v>3</v>
          </cell>
          <cell r="E86">
            <v>100</v>
          </cell>
          <cell r="F86">
            <v>952</v>
          </cell>
        </row>
        <row r="87">
          <cell r="A87" t="str">
            <v>AL292020</v>
          </cell>
          <cell r="B87">
            <v>2020</v>
          </cell>
          <cell r="C87" t="str">
            <v>ETA</v>
          </cell>
          <cell r="D87">
            <v>4</v>
          </cell>
          <cell r="E87">
            <v>130</v>
          </cell>
          <cell r="F87">
            <v>922</v>
          </cell>
        </row>
        <row r="88">
          <cell r="A88" t="str">
            <v>AL062020</v>
          </cell>
          <cell r="B88">
            <v>2020</v>
          </cell>
          <cell r="C88" t="str">
            <v>FAY</v>
          </cell>
          <cell r="D88" t="str">
            <v>NA</v>
          </cell>
          <cell r="E88" t="str">
            <v>NA</v>
          </cell>
          <cell r="F88" t="str">
            <v>NA</v>
          </cell>
        </row>
        <row r="89">
          <cell r="A89" t="str">
            <v>AL252020</v>
          </cell>
          <cell r="B89">
            <v>2020</v>
          </cell>
          <cell r="C89" t="str">
            <v>GAMMA</v>
          </cell>
          <cell r="D89">
            <v>1</v>
          </cell>
          <cell r="E89">
            <v>65</v>
          </cell>
          <cell r="F89">
            <v>978</v>
          </cell>
        </row>
        <row r="90">
          <cell r="A90" t="str">
            <v>AL072020</v>
          </cell>
          <cell r="B90">
            <v>2020</v>
          </cell>
          <cell r="C90" t="str">
            <v>GONZALO</v>
          </cell>
          <cell r="D90" t="str">
            <v>NA</v>
          </cell>
          <cell r="E90" t="str">
            <v>NA</v>
          </cell>
          <cell r="F90" t="str">
            <v>NA</v>
          </cell>
        </row>
        <row r="91">
          <cell r="A91" t="str">
            <v>AL082020</v>
          </cell>
          <cell r="B91">
            <v>2020</v>
          </cell>
          <cell r="C91" t="str">
            <v>HANNA</v>
          </cell>
          <cell r="D91">
            <v>1</v>
          </cell>
          <cell r="E91">
            <v>80</v>
          </cell>
          <cell r="F91">
            <v>973</v>
          </cell>
        </row>
        <row r="92">
          <cell r="A92" t="str">
            <v>AL312020</v>
          </cell>
          <cell r="B92">
            <v>2020</v>
          </cell>
          <cell r="C92" t="str">
            <v>IOTA</v>
          </cell>
          <cell r="D92">
            <v>4</v>
          </cell>
          <cell r="E92">
            <v>135</v>
          </cell>
          <cell r="F92">
            <v>917</v>
          </cell>
        </row>
        <row r="93">
          <cell r="A93" t="str">
            <v>AL092020</v>
          </cell>
          <cell r="B93">
            <v>2020</v>
          </cell>
          <cell r="C93" t="str">
            <v>ISAIAS</v>
          </cell>
          <cell r="D93">
            <v>1</v>
          </cell>
          <cell r="E93">
            <v>80</v>
          </cell>
          <cell r="F93">
            <v>986</v>
          </cell>
        </row>
        <row r="94">
          <cell r="A94" t="str">
            <v>AL112020</v>
          </cell>
          <cell r="B94">
            <v>2020</v>
          </cell>
          <cell r="C94" t="str">
            <v>JOSEPHINE</v>
          </cell>
          <cell r="D94" t="str">
            <v>NA</v>
          </cell>
          <cell r="E94" t="str">
            <v>NA</v>
          </cell>
          <cell r="F94" t="str">
            <v>NA</v>
          </cell>
        </row>
        <row r="95">
          <cell r="A95" t="str">
            <v>AL122020</v>
          </cell>
          <cell r="B95">
            <v>2020</v>
          </cell>
          <cell r="C95" t="str">
            <v>KYLE</v>
          </cell>
          <cell r="D95" t="str">
            <v>NA</v>
          </cell>
          <cell r="E95" t="str">
            <v>NA</v>
          </cell>
          <cell r="F95" t="str">
            <v>NA</v>
          </cell>
        </row>
        <row r="96">
          <cell r="A96" t="str">
            <v>AL132020</v>
          </cell>
          <cell r="B96">
            <v>2020</v>
          </cell>
          <cell r="C96" t="str">
            <v>LAURA</v>
          </cell>
          <cell r="D96">
            <v>4</v>
          </cell>
          <cell r="E96">
            <v>130</v>
          </cell>
          <cell r="F96">
            <v>937</v>
          </cell>
        </row>
        <row r="97">
          <cell r="A97" t="str">
            <v>AL142020</v>
          </cell>
          <cell r="B97">
            <v>2020</v>
          </cell>
          <cell r="C97" t="str">
            <v>MARCO</v>
          </cell>
          <cell r="D97">
            <v>1</v>
          </cell>
          <cell r="E97">
            <v>65</v>
          </cell>
          <cell r="F97">
            <v>991</v>
          </cell>
        </row>
        <row r="98">
          <cell r="A98" t="str">
            <v>AL162020</v>
          </cell>
          <cell r="B98">
            <v>2020</v>
          </cell>
          <cell r="C98" t="str">
            <v>NANA</v>
          </cell>
          <cell r="D98">
            <v>1</v>
          </cell>
          <cell r="E98">
            <v>65</v>
          </cell>
          <cell r="F98">
            <v>994</v>
          </cell>
        </row>
        <row r="99">
          <cell r="A99" t="str">
            <v>AL152020</v>
          </cell>
          <cell r="B99">
            <v>2020</v>
          </cell>
          <cell r="C99" t="str">
            <v>OMAR</v>
          </cell>
          <cell r="D99" t="str">
            <v>NA</v>
          </cell>
          <cell r="E99" t="str">
            <v>NA</v>
          </cell>
          <cell r="F99" t="str">
            <v>NA</v>
          </cell>
        </row>
        <row r="100">
          <cell r="A100" t="str">
            <v>AL172020</v>
          </cell>
          <cell r="B100">
            <v>2020</v>
          </cell>
          <cell r="C100" t="str">
            <v>PAULETTE</v>
          </cell>
          <cell r="D100">
            <v>2</v>
          </cell>
          <cell r="E100">
            <v>90</v>
          </cell>
          <cell r="F100">
            <v>965</v>
          </cell>
        </row>
        <row r="101">
          <cell r="A101" t="str">
            <v>AL182020</v>
          </cell>
          <cell r="B101">
            <v>2020</v>
          </cell>
          <cell r="C101" t="str">
            <v>RENE</v>
          </cell>
          <cell r="D101" t="str">
            <v>NA</v>
          </cell>
          <cell r="E101" t="str">
            <v>NA</v>
          </cell>
          <cell r="F101" t="str">
            <v>NA</v>
          </cell>
        </row>
        <row r="102">
          <cell r="A102" t="str">
            <v>AL192020</v>
          </cell>
          <cell r="B102">
            <v>2020</v>
          </cell>
          <cell r="C102" t="str">
            <v>SALLY</v>
          </cell>
          <cell r="D102">
            <v>2</v>
          </cell>
          <cell r="E102">
            <v>95</v>
          </cell>
          <cell r="F102">
            <v>965</v>
          </cell>
        </row>
        <row r="103">
          <cell r="A103" t="str">
            <v>AL202020</v>
          </cell>
          <cell r="B103">
            <v>2020</v>
          </cell>
          <cell r="C103" t="str">
            <v>TEDDY</v>
          </cell>
          <cell r="D103">
            <v>4</v>
          </cell>
          <cell r="E103">
            <v>120</v>
          </cell>
          <cell r="F103">
            <v>945</v>
          </cell>
        </row>
        <row r="104">
          <cell r="A104" t="str">
            <v>AL102020</v>
          </cell>
          <cell r="B104">
            <v>2020</v>
          </cell>
          <cell r="C104" t="str">
            <v>TEN</v>
          </cell>
          <cell r="D104" t="str">
            <v>NA</v>
          </cell>
          <cell r="E104" t="str">
            <v>NA</v>
          </cell>
          <cell r="F104" t="str">
            <v>NA</v>
          </cell>
        </row>
        <row r="105">
          <cell r="A105" t="str">
            <v>AL302020</v>
          </cell>
          <cell r="B105">
            <v>2020</v>
          </cell>
          <cell r="C105" t="str">
            <v>THETA</v>
          </cell>
          <cell r="D105" t="str">
            <v>NA</v>
          </cell>
          <cell r="E105" t="str">
            <v>NA</v>
          </cell>
          <cell r="F105" t="str">
            <v>NA</v>
          </cell>
        </row>
        <row r="106">
          <cell r="A106" t="str">
            <v>AL212020</v>
          </cell>
          <cell r="B106">
            <v>2020</v>
          </cell>
          <cell r="C106" t="str">
            <v>VICKY</v>
          </cell>
          <cell r="D106" t="str">
            <v>NA</v>
          </cell>
          <cell r="E106" t="str">
            <v>NA</v>
          </cell>
          <cell r="F106" t="str">
            <v>NA</v>
          </cell>
        </row>
        <row r="107">
          <cell r="A107" t="str">
            <v>AL232020</v>
          </cell>
          <cell r="B107">
            <v>2020</v>
          </cell>
          <cell r="C107" t="str">
            <v>WILFRED</v>
          </cell>
          <cell r="D107" t="str">
            <v>NA</v>
          </cell>
          <cell r="E107" t="str">
            <v>NA</v>
          </cell>
          <cell r="F107" t="str">
            <v>NA</v>
          </cell>
        </row>
        <row r="108">
          <cell r="A108" t="str">
            <v>AL282020</v>
          </cell>
          <cell r="B108">
            <v>2020</v>
          </cell>
          <cell r="C108" t="str">
            <v>ZETA</v>
          </cell>
          <cell r="D108">
            <v>3</v>
          </cell>
          <cell r="E108">
            <v>100</v>
          </cell>
          <cell r="F108">
            <v>970</v>
          </cell>
        </row>
        <row r="109">
          <cell r="A109" t="str">
            <v>AL012019</v>
          </cell>
          <cell r="B109">
            <v>2019</v>
          </cell>
          <cell r="C109" t="str">
            <v>ANDREA</v>
          </cell>
          <cell r="D109" t="str">
            <v>NA</v>
          </cell>
          <cell r="E109" t="str">
            <v>NA</v>
          </cell>
          <cell r="F109" t="str">
            <v>NA</v>
          </cell>
        </row>
        <row r="110">
          <cell r="A110" t="str">
            <v>AL022019</v>
          </cell>
          <cell r="B110">
            <v>2019</v>
          </cell>
          <cell r="C110" t="str">
            <v>BARRY</v>
          </cell>
          <cell r="D110">
            <v>1</v>
          </cell>
          <cell r="E110">
            <v>65</v>
          </cell>
          <cell r="F110">
            <v>993</v>
          </cell>
        </row>
        <row r="111">
          <cell r="A111" t="str">
            <v>AL042019</v>
          </cell>
          <cell r="B111">
            <v>2019</v>
          </cell>
          <cell r="C111" t="str">
            <v>CHANTAL</v>
          </cell>
          <cell r="D111" t="str">
            <v>NA</v>
          </cell>
          <cell r="E111" t="str">
            <v>NA</v>
          </cell>
          <cell r="F111" t="str">
            <v>NA</v>
          </cell>
        </row>
        <row r="112">
          <cell r="A112" t="str">
            <v>AL052019</v>
          </cell>
          <cell r="B112">
            <v>2019</v>
          </cell>
          <cell r="C112" t="str">
            <v>DORIAN</v>
          </cell>
          <cell r="D112">
            <v>5</v>
          </cell>
          <cell r="E112">
            <v>160</v>
          </cell>
          <cell r="F112">
            <v>910</v>
          </cell>
        </row>
        <row r="113">
          <cell r="A113" t="str">
            <v>AL062019</v>
          </cell>
          <cell r="B113">
            <v>2019</v>
          </cell>
          <cell r="C113" t="str">
            <v>ERIN</v>
          </cell>
          <cell r="D113" t="str">
            <v>NA</v>
          </cell>
          <cell r="E113" t="str">
            <v>NA</v>
          </cell>
          <cell r="F113" t="str">
            <v>NA</v>
          </cell>
        </row>
        <row r="114">
          <cell r="A114" t="str">
            <v>AL072019</v>
          </cell>
          <cell r="B114">
            <v>2019</v>
          </cell>
          <cell r="C114" t="str">
            <v>FERNAND</v>
          </cell>
          <cell r="D114" t="str">
            <v>NA</v>
          </cell>
          <cell r="E114" t="str">
            <v>NA</v>
          </cell>
          <cell r="F114" t="str">
            <v>NA</v>
          </cell>
        </row>
        <row r="115">
          <cell r="A115" t="str">
            <v>AL152019</v>
          </cell>
          <cell r="B115">
            <v>2019</v>
          </cell>
          <cell r="C115" t="str">
            <v>FIFTEEN</v>
          </cell>
          <cell r="D115" t="str">
            <v>NA</v>
          </cell>
          <cell r="E115" t="str">
            <v>NA</v>
          </cell>
          <cell r="F115" t="str">
            <v>NA</v>
          </cell>
        </row>
        <row r="116">
          <cell r="A116" t="str">
            <v>AL082019</v>
          </cell>
          <cell r="B116">
            <v>2019</v>
          </cell>
          <cell r="C116" t="str">
            <v>GABRIELLE</v>
          </cell>
          <cell r="D116" t="str">
            <v>NA</v>
          </cell>
          <cell r="E116" t="str">
            <v>NA</v>
          </cell>
          <cell r="F116" t="str">
            <v>NA</v>
          </cell>
        </row>
        <row r="117">
          <cell r="A117" t="str">
            <v>AL092019</v>
          </cell>
          <cell r="B117">
            <v>2019</v>
          </cell>
          <cell r="C117" t="str">
            <v>HUMBERTO</v>
          </cell>
          <cell r="D117">
            <v>3</v>
          </cell>
          <cell r="E117">
            <v>110</v>
          </cell>
          <cell r="F117">
            <v>950</v>
          </cell>
        </row>
        <row r="118">
          <cell r="A118" t="str">
            <v>AL112019</v>
          </cell>
          <cell r="B118">
            <v>2019</v>
          </cell>
          <cell r="C118" t="str">
            <v>IMELDA</v>
          </cell>
          <cell r="D118" t="str">
            <v>NA</v>
          </cell>
          <cell r="E118" t="str">
            <v>NA</v>
          </cell>
          <cell r="F118" t="str">
            <v>NA</v>
          </cell>
        </row>
        <row r="119">
          <cell r="A119" t="str">
            <v>AL102019</v>
          </cell>
          <cell r="B119">
            <v>2019</v>
          </cell>
          <cell r="C119" t="str">
            <v>JERRY</v>
          </cell>
          <cell r="D119">
            <v>2</v>
          </cell>
          <cell r="E119">
            <v>90</v>
          </cell>
          <cell r="F119">
            <v>976</v>
          </cell>
        </row>
        <row r="120">
          <cell r="A120" t="str">
            <v>AL122019</v>
          </cell>
          <cell r="B120">
            <v>2019</v>
          </cell>
          <cell r="C120" t="str">
            <v>KAREN</v>
          </cell>
          <cell r="D120" t="str">
            <v>NA</v>
          </cell>
          <cell r="E120" t="str">
            <v>NA</v>
          </cell>
          <cell r="F120" t="str">
            <v>NA</v>
          </cell>
        </row>
        <row r="121">
          <cell r="A121" t="str">
            <v>AL132019</v>
          </cell>
          <cell r="B121">
            <v>2019</v>
          </cell>
          <cell r="C121" t="str">
            <v>LORENZO</v>
          </cell>
          <cell r="D121">
            <v>5</v>
          </cell>
          <cell r="E121">
            <v>140</v>
          </cell>
          <cell r="F121">
            <v>925</v>
          </cell>
        </row>
        <row r="122">
          <cell r="A122" t="str">
            <v>AL142019</v>
          </cell>
          <cell r="B122">
            <v>2019</v>
          </cell>
          <cell r="C122" t="str">
            <v>MELISSA</v>
          </cell>
          <cell r="D122" t="str">
            <v>NA</v>
          </cell>
          <cell r="E122" t="str">
            <v>NA</v>
          </cell>
          <cell r="F122" t="str">
            <v>NA</v>
          </cell>
        </row>
        <row r="123">
          <cell r="A123" t="str">
            <v>AL162019</v>
          </cell>
          <cell r="B123">
            <v>2019</v>
          </cell>
          <cell r="C123" t="str">
            <v>NESTOR</v>
          </cell>
          <cell r="D123" t="str">
            <v>NA</v>
          </cell>
          <cell r="E123" t="str">
            <v>NA</v>
          </cell>
          <cell r="F123" t="str">
            <v>NA</v>
          </cell>
        </row>
        <row r="124">
          <cell r="A124" t="str">
            <v>AL172019</v>
          </cell>
          <cell r="B124">
            <v>2019</v>
          </cell>
          <cell r="C124" t="str">
            <v>OLGA</v>
          </cell>
          <cell r="D124" t="str">
            <v>NA</v>
          </cell>
          <cell r="E124" t="str">
            <v>NA</v>
          </cell>
          <cell r="F124" t="str">
            <v>NA</v>
          </cell>
        </row>
        <row r="125">
          <cell r="A125" t="str">
            <v>AL182019</v>
          </cell>
          <cell r="B125">
            <v>2019</v>
          </cell>
          <cell r="C125" t="str">
            <v>PABLO</v>
          </cell>
          <cell r="D125">
            <v>1</v>
          </cell>
          <cell r="E125">
            <v>70</v>
          </cell>
          <cell r="F125">
            <v>977</v>
          </cell>
        </row>
        <row r="126">
          <cell r="A126" t="str">
            <v>AL192019</v>
          </cell>
          <cell r="B126">
            <v>2019</v>
          </cell>
          <cell r="C126" t="str">
            <v>REBEKAH</v>
          </cell>
          <cell r="D126" t="str">
            <v>NA</v>
          </cell>
          <cell r="E126" t="str">
            <v>NA</v>
          </cell>
          <cell r="F126" t="str">
            <v>NA</v>
          </cell>
        </row>
        <row r="127">
          <cell r="A127" t="str">
            <v>AL202019</v>
          </cell>
          <cell r="B127">
            <v>2019</v>
          </cell>
          <cell r="C127" t="str">
            <v>SEBASTIEN</v>
          </cell>
          <cell r="D127" t="str">
            <v>NA</v>
          </cell>
          <cell r="E127" t="str">
            <v>NA</v>
          </cell>
          <cell r="F127" t="str">
            <v>NA</v>
          </cell>
        </row>
        <row r="128">
          <cell r="A128" t="str">
            <v>AL032019</v>
          </cell>
          <cell r="B128">
            <v>2019</v>
          </cell>
          <cell r="C128" t="str">
            <v>THREE</v>
          </cell>
          <cell r="D128" t="str">
            <v>NA</v>
          </cell>
          <cell r="E128" t="str">
            <v>NA</v>
          </cell>
          <cell r="F128" t="str">
            <v>NA</v>
          </cell>
        </row>
        <row r="129">
          <cell r="A129" t="str">
            <v>AL012018</v>
          </cell>
          <cell r="B129">
            <v>2018</v>
          </cell>
          <cell r="C129" t="str">
            <v>ALBERTO</v>
          </cell>
          <cell r="D129" t="str">
            <v>NA</v>
          </cell>
          <cell r="E129" t="str">
            <v>NA</v>
          </cell>
          <cell r="F129" t="str">
            <v>NA</v>
          </cell>
        </row>
        <row r="130">
          <cell r="A130" t="str">
            <v>AL022018</v>
          </cell>
          <cell r="B130">
            <v>2018</v>
          </cell>
          <cell r="C130" t="str">
            <v>BERYL</v>
          </cell>
          <cell r="D130">
            <v>1</v>
          </cell>
          <cell r="E130">
            <v>70</v>
          </cell>
          <cell r="F130">
            <v>991</v>
          </cell>
        </row>
        <row r="131">
          <cell r="A131" t="str">
            <v>AL032018</v>
          </cell>
          <cell r="B131">
            <v>2018</v>
          </cell>
          <cell r="C131" t="str">
            <v>CHRIS</v>
          </cell>
          <cell r="D131">
            <v>2</v>
          </cell>
          <cell r="E131">
            <v>90</v>
          </cell>
          <cell r="F131">
            <v>969</v>
          </cell>
        </row>
        <row r="132">
          <cell r="A132" t="str">
            <v>AL042018</v>
          </cell>
          <cell r="B132">
            <v>2018</v>
          </cell>
          <cell r="C132" t="str">
            <v>DEBBY</v>
          </cell>
          <cell r="D132" t="str">
            <v>NA</v>
          </cell>
          <cell r="E132" t="str">
            <v>NA</v>
          </cell>
          <cell r="F132" t="str">
            <v>NA</v>
          </cell>
        </row>
        <row r="133">
          <cell r="A133" t="str">
            <v>AL112018</v>
          </cell>
          <cell r="B133">
            <v>2018</v>
          </cell>
          <cell r="C133" t="str">
            <v>ELEVEN</v>
          </cell>
          <cell r="D133" t="str">
            <v>NA</v>
          </cell>
          <cell r="E133" t="str">
            <v>NA</v>
          </cell>
          <cell r="F133" t="str">
            <v>NA</v>
          </cell>
        </row>
        <row r="134">
          <cell r="A134" t="str">
            <v>AL052018</v>
          </cell>
          <cell r="B134">
            <v>2018</v>
          </cell>
          <cell r="C134" t="str">
            <v>ERNESTO</v>
          </cell>
          <cell r="D134" t="str">
            <v>NA</v>
          </cell>
          <cell r="E134" t="str">
            <v>NA</v>
          </cell>
          <cell r="F134" t="str">
            <v>NA</v>
          </cell>
        </row>
        <row r="135">
          <cell r="A135" t="str">
            <v>AL062018</v>
          </cell>
          <cell r="B135">
            <v>2018</v>
          </cell>
          <cell r="C135" t="str">
            <v>FLORENCE</v>
          </cell>
          <cell r="D135">
            <v>4</v>
          </cell>
          <cell r="E135">
            <v>130</v>
          </cell>
          <cell r="F135">
            <v>937</v>
          </cell>
        </row>
        <row r="136">
          <cell r="A136" t="str">
            <v>AL072018</v>
          </cell>
          <cell r="B136">
            <v>2018</v>
          </cell>
          <cell r="C136" t="str">
            <v>GORDON</v>
          </cell>
          <cell r="D136" t="str">
            <v>NA</v>
          </cell>
          <cell r="E136" t="str">
            <v>NA</v>
          </cell>
          <cell r="F136" t="str">
            <v>NA</v>
          </cell>
        </row>
        <row r="137">
          <cell r="A137" t="str">
            <v>AL082018</v>
          </cell>
          <cell r="B137">
            <v>2018</v>
          </cell>
          <cell r="C137" t="str">
            <v>HELENE</v>
          </cell>
          <cell r="D137">
            <v>2</v>
          </cell>
          <cell r="E137">
            <v>95</v>
          </cell>
          <cell r="F137">
            <v>967</v>
          </cell>
        </row>
        <row r="138">
          <cell r="A138" t="str">
            <v>AL092018</v>
          </cell>
          <cell r="B138">
            <v>2018</v>
          </cell>
          <cell r="C138" t="str">
            <v>ISAAC</v>
          </cell>
          <cell r="D138">
            <v>1</v>
          </cell>
          <cell r="E138">
            <v>65</v>
          </cell>
          <cell r="F138">
            <v>995</v>
          </cell>
        </row>
        <row r="139">
          <cell r="A139" t="str">
            <v>AL102018</v>
          </cell>
          <cell r="B139">
            <v>2018</v>
          </cell>
          <cell r="C139" t="str">
            <v>JOYCE</v>
          </cell>
          <cell r="D139" t="str">
            <v>NA</v>
          </cell>
          <cell r="E139" t="str">
            <v>NA</v>
          </cell>
          <cell r="F139" t="str">
            <v>NA</v>
          </cell>
        </row>
        <row r="140">
          <cell r="A140" t="str">
            <v>AL122018</v>
          </cell>
          <cell r="B140">
            <v>2018</v>
          </cell>
          <cell r="C140" t="str">
            <v>KIRK</v>
          </cell>
          <cell r="D140" t="str">
            <v>NA</v>
          </cell>
          <cell r="E140" t="str">
            <v>NA</v>
          </cell>
          <cell r="F140" t="str">
            <v>NA</v>
          </cell>
        </row>
        <row r="141">
          <cell r="A141" t="str">
            <v>AL132018</v>
          </cell>
          <cell r="B141">
            <v>2018</v>
          </cell>
          <cell r="C141" t="str">
            <v>LESLIE</v>
          </cell>
          <cell r="D141">
            <v>1</v>
          </cell>
          <cell r="E141">
            <v>80</v>
          </cell>
          <cell r="F141">
            <v>968</v>
          </cell>
        </row>
        <row r="142">
          <cell r="A142" t="str">
            <v>AL142018</v>
          </cell>
          <cell r="B142">
            <v>2018</v>
          </cell>
          <cell r="C142" t="str">
            <v>MICHAEL</v>
          </cell>
          <cell r="D142">
            <v>5</v>
          </cell>
          <cell r="E142">
            <v>140</v>
          </cell>
          <cell r="F142">
            <v>919</v>
          </cell>
        </row>
        <row r="143">
          <cell r="A143" t="str">
            <v>AL152018</v>
          </cell>
          <cell r="B143">
            <v>2018</v>
          </cell>
          <cell r="C143" t="str">
            <v>NADINE</v>
          </cell>
          <cell r="D143" t="str">
            <v>NA</v>
          </cell>
          <cell r="E143" t="str">
            <v>NA</v>
          </cell>
          <cell r="F143" t="str">
            <v>NA</v>
          </cell>
        </row>
        <row r="144">
          <cell r="A144" t="str">
            <v>AL162018</v>
          </cell>
          <cell r="B144">
            <v>2018</v>
          </cell>
          <cell r="C144" t="str">
            <v>OSCAR</v>
          </cell>
          <cell r="D144">
            <v>2</v>
          </cell>
          <cell r="E144">
            <v>95</v>
          </cell>
          <cell r="F144">
            <v>966</v>
          </cell>
        </row>
        <row r="145">
          <cell r="A145" t="str">
            <v>AL012017</v>
          </cell>
          <cell r="B145">
            <v>2017</v>
          </cell>
          <cell r="C145" t="str">
            <v>ARLENE</v>
          </cell>
          <cell r="D145" t="str">
            <v>NA</v>
          </cell>
          <cell r="E145" t="str">
            <v>NA</v>
          </cell>
          <cell r="F145" t="str">
            <v>NA</v>
          </cell>
        </row>
        <row r="146">
          <cell r="A146" t="str">
            <v>AL022017</v>
          </cell>
          <cell r="B146">
            <v>2017</v>
          </cell>
          <cell r="C146" t="str">
            <v>BRET</v>
          </cell>
          <cell r="D146" t="str">
            <v>NA</v>
          </cell>
          <cell r="E146" t="str">
            <v>NA</v>
          </cell>
          <cell r="F146" t="str">
            <v>NA</v>
          </cell>
        </row>
        <row r="147">
          <cell r="A147" t="str">
            <v>AL032017</v>
          </cell>
          <cell r="B147">
            <v>2017</v>
          </cell>
          <cell r="C147" t="str">
            <v>CINDY</v>
          </cell>
          <cell r="D147" t="str">
            <v>NA</v>
          </cell>
          <cell r="E147" t="str">
            <v>NA</v>
          </cell>
          <cell r="F147" t="str">
            <v>NA</v>
          </cell>
        </row>
        <row r="148">
          <cell r="A148" t="str">
            <v>AL052017</v>
          </cell>
          <cell r="B148">
            <v>2017</v>
          </cell>
          <cell r="C148" t="str">
            <v>DON</v>
          </cell>
          <cell r="D148" t="str">
            <v>NA</v>
          </cell>
          <cell r="E148" t="str">
            <v>NA</v>
          </cell>
          <cell r="F148" t="str">
            <v>NA</v>
          </cell>
        </row>
        <row r="149">
          <cell r="A149" t="str">
            <v>AL062017</v>
          </cell>
          <cell r="B149">
            <v>2017</v>
          </cell>
          <cell r="C149" t="str">
            <v>EMILY</v>
          </cell>
          <cell r="D149" t="str">
            <v>NA</v>
          </cell>
          <cell r="E149" t="str">
            <v>NA</v>
          </cell>
          <cell r="F149" t="str">
            <v>NA</v>
          </cell>
        </row>
        <row r="150">
          <cell r="A150" t="str">
            <v>AL042017</v>
          </cell>
          <cell r="B150">
            <v>2017</v>
          </cell>
          <cell r="C150" t="str">
            <v>FOUR</v>
          </cell>
          <cell r="D150" t="str">
            <v>NA</v>
          </cell>
          <cell r="E150" t="str">
            <v>NA</v>
          </cell>
          <cell r="F150" t="str">
            <v>NA</v>
          </cell>
        </row>
        <row r="151">
          <cell r="A151" t="str">
            <v>AL072017</v>
          </cell>
          <cell r="B151">
            <v>2017</v>
          </cell>
          <cell r="C151" t="str">
            <v>FRANKLIN</v>
          </cell>
          <cell r="D151">
            <v>1</v>
          </cell>
          <cell r="E151">
            <v>75</v>
          </cell>
          <cell r="F151">
            <v>981</v>
          </cell>
        </row>
        <row r="152">
          <cell r="A152" t="str">
            <v>AL082017</v>
          </cell>
          <cell r="B152">
            <v>2017</v>
          </cell>
          <cell r="C152" t="str">
            <v>GERT</v>
          </cell>
          <cell r="D152">
            <v>2</v>
          </cell>
          <cell r="E152">
            <v>95</v>
          </cell>
          <cell r="F152">
            <v>962</v>
          </cell>
        </row>
        <row r="153">
          <cell r="A153" t="str">
            <v>AL092017</v>
          </cell>
          <cell r="B153">
            <v>2017</v>
          </cell>
          <cell r="C153" t="str">
            <v>HARVEY</v>
          </cell>
          <cell r="D153">
            <v>4</v>
          </cell>
          <cell r="E153">
            <v>115</v>
          </cell>
          <cell r="F153">
            <v>937</v>
          </cell>
        </row>
        <row r="154">
          <cell r="A154" t="str">
            <v>AL112017</v>
          </cell>
          <cell r="B154">
            <v>2017</v>
          </cell>
          <cell r="C154" t="str">
            <v>IRMA</v>
          </cell>
          <cell r="D154">
            <v>5</v>
          </cell>
          <cell r="E154">
            <v>155</v>
          </cell>
          <cell r="F154">
            <v>914</v>
          </cell>
        </row>
        <row r="155">
          <cell r="A155" t="str">
            <v>AL122017</v>
          </cell>
          <cell r="B155">
            <v>2017</v>
          </cell>
          <cell r="C155" t="str">
            <v>JOSE</v>
          </cell>
          <cell r="D155">
            <v>4</v>
          </cell>
          <cell r="E155">
            <v>135</v>
          </cell>
          <cell r="F155">
            <v>938</v>
          </cell>
        </row>
        <row r="156">
          <cell r="A156" t="str">
            <v>AL132017</v>
          </cell>
          <cell r="B156">
            <v>2017</v>
          </cell>
          <cell r="C156" t="str">
            <v>KATIA</v>
          </cell>
          <cell r="D156">
            <v>2</v>
          </cell>
          <cell r="E156">
            <v>90</v>
          </cell>
          <cell r="F156">
            <v>972</v>
          </cell>
        </row>
        <row r="157">
          <cell r="A157" t="str">
            <v>AL142017</v>
          </cell>
          <cell r="B157">
            <v>2017</v>
          </cell>
          <cell r="C157" t="str">
            <v>LEE</v>
          </cell>
          <cell r="D157">
            <v>3</v>
          </cell>
          <cell r="E157">
            <v>100</v>
          </cell>
          <cell r="F157">
            <v>962</v>
          </cell>
        </row>
        <row r="158">
          <cell r="A158" t="str">
            <v>AL152017</v>
          </cell>
          <cell r="B158">
            <v>2017</v>
          </cell>
          <cell r="C158" t="str">
            <v>MARIA</v>
          </cell>
          <cell r="D158">
            <v>5</v>
          </cell>
          <cell r="E158">
            <v>150</v>
          </cell>
          <cell r="F158">
            <v>908</v>
          </cell>
        </row>
        <row r="159">
          <cell r="A159" t="str">
            <v>AL162017</v>
          </cell>
          <cell r="B159">
            <v>2017</v>
          </cell>
          <cell r="C159" t="str">
            <v>NATE</v>
          </cell>
          <cell r="D159">
            <v>1</v>
          </cell>
          <cell r="E159">
            <v>80</v>
          </cell>
          <cell r="F159">
            <v>981</v>
          </cell>
        </row>
        <row r="160">
          <cell r="A160" t="str">
            <v>AL172017</v>
          </cell>
          <cell r="B160">
            <v>2017</v>
          </cell>
          <cell r="C160" t="str">
            <v>OPHELIA</v>
          </cell>
          <cell r="D160">
            <v>3</v>
          </cell>
          <cell r="E160">
            <v>100</v>
          </cell>
          <cell r="F160">
            <v>959</v>
          </cell>
        </row>
        <row r="161">
          <cell r="A161" t="str">
            <v>AL182017</v>
          </cell>
          <cell r="B161">
            <v>2017</v>
          </cell>
          <cell r="C161" t="str">
            <v>PHILIPPE</v>
          </cell>
          <cell r="D161" t="str">
            <v>NA</v>
          </cell>
          <cell r="E161" t="str">
            <v>NA</v>
          </cell>
          <cell r="F161" t="str">
            <v>NA</v>
          </cell>
        </row>
        <row r="162">
          <cell r="A162" t="str">
            <v>AL192017</v>
          </cell>
          <cell r="B162">
            <v>2017</v>
          </cell>
          <cell r="C162" t="str">
            <v>RINA</v>
          </cell>
          <cell r="D162" t="str">
            <v>NA</v>
          </cell>
          <cell r="E162" t="str">
            <v>NA</v>
          </cell>
          <cell r="F162" t="str">
            <v>NA</v>
          </cell>
        </row>
        <row r="163">
          <cell r="A163" t="str">
            <v>AL012016</v>
          </cell>
          <cell r="B163">
            <v>2016</v>
          </cell>
          <cell r="C163" t="str">
            <v>ALEX</v>
          </cell>
          <cell r="D163">
            <v>1</v>
          </cell>
          <cell r="E163">
            <v>75</v>
          </cell>
          <cell r="F163">
            <v>981</v>
          </cell>
        </row>
        <row r="164">
          <cell r="A164" t="str">
            <v>AL022016</v>
          </cell>
          <cell r="B164">
            <v>2016</v>
          </cell>
          <cell r="C164" t="str">
            <v>BONNIE</v>
          </cell>
          <cell r="D164" t="str">
            <v>NA</v>
          </cell>
          <cell r="E164" t="str">
            <v>NA</v>
          </cell>
          <cell r="F164" t="str">
            <v>NA</v>
          </cell>
        </row>
        <row r="165">
          <cell r="A165" t="str">
            <v>AL032016</v>
          </cell>
          <cell r="B165">
            <v>2016</v>
          </cell>
          <cell r="C165" t="str">
            <v>COLIN</v>
          </cell>
          <cell r="D165" t="str">
            <v>NA</v>
          </cell>
          <cell r="E165" t="str">
            <v>NA</v>
          </cell>
          <cell r="F165" t="str">
            <v>NA</v>
          </cell>
        </row>
        <row r="166">
          <cell r="A166" t="str">
            <v>AL042016</v>
          </cell>
          <cell r="B166">
            <v>2016</v>
          </cell>
          <cell r="C166" t="str">
            <v>DANIELLE</v>
          </cell>
          <cell r="D166" t="str">
            <v>NA</v>
          </cell>
          <cell r="E166" t="str">
            <v>NA</v>
          </cell>
          <cell r="F166" t="str">
            <v>NA</v>
          </cell>
        </row>
        <row r="167">
          <cell r="A167" t="str">
            <v>AL052016</v>
          </cell>
          <cell r="B167">
            <v>2016</v>
          </cell>
          <cell r="C167" t="str">
            <v>EARL</v>
          </cell>
          <cell r="D167">
            <v>1</v>
          </cell>
          <cell r="E167">
            <v>75</v>
          </cell>
          <cell r="F167">
            <v>979</v>
          </cell>
        </row>
        <row r="168">
          <cell r="A168" t="str">
            <v>AL082016</v>
          </cell>
          <cell r="B168">
            <v>2016</v>
          </cell>
          <cell r="C168" t="str">
            <v>EIGHT</v>
          </cell>
          <cell r="D168" t="str">
            <v>NA</v>
          </cell>
          <cell r="E168" t="str">
            <v>NA</v>
          </cell>
          <cell r="F168" t="str">
            <v>NA</v>
          </cell>
        </row>
        <row r="169">
          <cell r="A169" t="str">
            <v>AL062016</v>
          </cell>
          <cell r="B169">
            <v>2016</v>
          </cell>
          <cell r="C169" t="str">
            <v>FIONA</v>
          </cell>
          <cell r="D169" t="str">
            <v>NA</v>
          </cell>
          <cell r="E169" t="str">
            <v>NA</v>
          </cell>
          <cell r="F169" t="str">
            <v>NA</v>
          </cell>
        </row>
        <row r="170">
          <cell r="A170" t="str">
            <v>AL072016</v>
          </cell>
          <cell r="B170">
            <v>2016</v>
          </cell>
          <cell r="C170" t="str">
            <v>GASTON</v>
          </cell>
          <cell r="D170">
            <v>3</v>
          </cell>
          <cell r="E170">
            <v>105</v>
          </cell>
          <cell r="F170">
            <v>955</v>
          </cell>
        </row>
        <row r="171">
          <cell r="A171" t="str">
            <v>AL092016</v>
          </cell>
          <cell r="B171">
            <v>2016</v>
          </cell>
          <cell r="C171" t="str">
            <v>HERMINE</v>
          </cell>
          <cell r="D171">
            <v>1</v>
          </cell>
          <cell r="E171">
            <v>70</v>
          </cell>
          <cell r="F171">
            <v>981</v>
          </cell>
        </row>
        <row r="172">
          <cell r="A172" t="str">
            <v>AL102016</v>
          </cell>
          <cell r="B172">
            <v>2016</v>
          </cell>
          <cell r="C172" t="str">
            <v>IAN</v>
          </cell>
          <cell r="D172" t="str">
            <v>NA</v>
          </cell>
          <cell r="E172" t="str">
            <v>NA</v>
          </cell>
          <cell r="F172" t="str">
            <v>NA</v>
          </cell>
        </row>
        <row r="173">
          <cell r="A173" t="str">
            <v>AL112016</v>
          </cell>
          <cell r="B173">
            <v>2016</v>
          </cell>
          <cell r="C173" t="str">
            <v>JULIA</v>
          </cell>
          <cell r="D173" t="str">
            <v>NA</v>
          </cell>
          <cell r="E173" t="str">
            <v>NA</v>
          </cell>
          <cell r="F173" t="str">
            <v>NA</v>
          </cell>
        </row>
        <row r="174">
          <cell r="A174" t="str">
            <v>AL122016</v>
          </cell>
          <cell r="B174">
            <v>2016</v>
          </cell>
          <cell r="C174" t="str">
            <v>KARL</v>
          </cell>
          <cell r="D174" t="str">
            <v>NA</v>
          </cell>
          <cell r="E174" t="str">
            <v>NA</v>
          </cell>
          <cell r="F174" t="str">
            <v>NA</v>
          </cell>
        </row>
        <row r="175">
          <cell r="A175" t="str">
            <v>AL132016</v>
          </cell>
          <cell r="B175">
            <v>2016</v>
          </cell>
          <cell r="C175" t="str">
            <v>LISA</v>
          </cell>
          <cell r="D175" t="str">
            <v>NA</v>
          </cell>
          <cell r="E175" t="str">
            <v>NA</v>
          </cell>
          <cell r="F175" t="str">
            <v>NA</v>
          </cell>
        </row>
        <row r="176">
          <cell r="A176" t="str">
            <v>AL142016</v>
          </cell>
          <cell r="B176">
            <v>2016</v>
          </cell>
          <cell r="C176" t="str">
            <v>MATTHEW</v>
          </cell>
          <cell r="D176">
            <v>5</v>
          </cell>
          <cell r="E176">
            <v>145</v>
          </cell>
          <cell r="F176">
            <v>934</v>
          </cell>
        </row>
        <row r="177">
          <cell r="A177" t="str">
            <v>AL152016</v>
          </cell>
          <cell r="B177">
            <v>2016</v>
          </cell>
          <cell r="C177" t="str">
            <v>NICOLE</v>
          </cell>
          <cell r="D177">
            <v>4</v>
          </cell>
          <cell r="E177">
            <v>120</v>
          </cell>
          <cell r="F177">
            <v>950</v>
          </cell>
        </row>
        <row r="178">
          <cell r="A178" t="str">
            <v>AL162016</v>
          </cell>
          <cell r="B178">
            <v>2016</v>
          </cell>
          <cell r="C178" t="str">
            <v>OTTO</v>
          </cell>
          <cell r="D178">
            <v>3</v>
          </cell>
          <cell r="E178">
            <v>100</v>
          </cell>
          <cell r="F178">
            <v>975</v>
          </cell>
        </row>
        <row r="179">
          <cell r="A179" t="str">
            <v>AL012015</v>
          </cell>
          <cell r="B179">
            <v>2015</v>
          </cell>
          <cell r="C179" t="str">
            <v>ANA</v>
          </cell>
          <cell r="D179" t="str">
            <v>NA</v>
          </cell>
          <cell r="E179" t="str">
            <v>NA</v>
          </cell>
          <cell r="F179" t="str">
            <v>NA</v>
          </cell>
        </row>
        <row r="180">
          <cell r="A180" t="str">
            <v>AL022015</v>
          </cell>
          <cell r="B180">
            <v>2015</v>
          </cell>
          <cell r="C180" t="str">
            <v>BILL</v>
          </cell>
          <cell r="D180" t="str">
            <v>NA</v>
          </cell>
          <cell r="E180" t="str">
            <v>NA</v>
          </cell>
          <cell r="F180" t="str">
            <v>NA</v>
          </cell>
        </row>
        <row r="181">
          <cell r="A181" t="str">
            <v>AL032015</v>
          </cell>
          <cell r="B181">
            <v>2015</v>
          </cell>
          <cell r="C181" t="str">
            <v>CLAUDETTE</v>
          </cell>
          <cell r="D181" t="str">
            <v>NA</v>
          </cell>
          <cell r="E181" t="str">
            <v>NA</v>
          </cell>
          <cell r="F181" t="str">
            <v>NA</v>
          </cell>
        </row>
        <row r="182">
          <cell r="A182" t="str">
            <v>AL042015</v>
          </cell>
          <cell r="B182">
            <v>2015</v>
          </cell>
          <cell r="C182" t="str">
            <v>DANNY</v>
          </cell>
          <cell r="D182">
            <v>3</v>
          </cell>
          <cell r="E182">
            <v>110</v>
          </cell>
          <cell r="F182">
            <v>960</v>
          </cell>
        </row>
        <row r="183">
          <cell r="A183" t="str">
            <v>AL052015</v>
          </cell>
          <cell r="B183">
            <v>2015</v>
          </cell>
          <cell r="C183" t="str">
            <v>ERIKA</v>
          </cell>
          <cell r="D183" t="str">
            <v>NA</v>
          </cell>
          <cell r="E183" t="str">
            <v>NA</v>
          </cell>
          <cell r="F183" t="str">
            <v>NA</v>
          </cell>
        </row>
        <row r="184">
          <cell r="A184" t="str">
            <v>AL062015</v>
          </cell>
          <cell r="B184">
            <v>2015</v>
          </cell>
          <cell r="C184" t="str">
            <v>FRED</v>
          </cell>
          <cell r="D184">
            <v>1</v>
          </cell>
          <cell r="E184">
            <v>75</v>
          </cell>
          <cell r="F184">
            <v>986</v>
          </cell>
        </row>
        <row r="185">
          <cell r="A185" t="str">
            <v>AL072015</v>
          </cell>
          <cell r="B185">
            <v>2015</v>
          </cell>
          <cell r="C185" t="str">
            <v>GRACE</v>
          </cell>
          <cell r="D185" t="str">
            <v>NA</v>
          </cell>
          <cell r="E185" t="str">
            <v>NA</v>
          </cell>
          <cell r="F185" t="str">
            <v>NA</v>
          </cell>
        </row>
        <row r="186">
          <cell r="A186" t="str">
            <v>AL082015</v>
          </cell>
          <cell r="B186">
            <v>2015</v>
          </cell>
          <cell r="C186" t="str">
            <v>HENRI</v>
          </cell>
          <cell r="D186" t="str">
            <v>NA</v>
          </cell>
          <cell r="E186" t="str">
            <v>NA</v>
          </cell>
          <cell r="F186" t="str">
            <v>NA</v>
          </cell>
        </row>
        <row r="187">
          <cell r="A187" t="str">
            <v>AL102015</v>
          </cell>
          <cell r="B187">
            <v>2015</v>
          </cell>
          <cell r="C187" t="str">
            <v>IDA</v>
          </cell>
          <cell r="D187" t="str">
            <v>NA</v>
          </cell>
          <cell r="E187" t="str">
            <v>NA</v>
          </cell>
          <cell r="F187" t="str">
            <v>NA</v>
          </cell>
        </row>
        <row r="188">
          <cell r="A188" t="str">
            <v>AL112015</v>
          </cell>
          <cell r="B188">
            <v>2015</v>
          </cell>
          <cell r="C188" t="str">
            <v>JOAQUIN</v>
          </cell>
          <cell r="D188">
            <v>4</v>
          </cell>
          <cell r="E188">
            <v>135</v>
          </cell>
          <cell r="F188">
            <v>931</v>
          </cell>
        </row>
        <row r="189">
          <cell r="A189" t="str">
            <v>AL122015</v>
          </cell>
          <cell r="B189">
            <v>2015</v>
          </cell>
          <cell r="C189" t="str">
            <v>KATE</v>
          </cell>
          <cell r="D189">
            <v>1</v>
          </cell>
          <cell r="E189">
            <v>75</v>
          </cell>
          <cell r="F189">
            <v>980</v>
          </cell>
        </row>
        <row r="190">
          <cell r="A190" t="str">
            <v>AL092015</v>
          </cell>
          <cell r="B190">
            <v>2015</v>
          </cell>
          <cell r="C190" t="str">
            <v>NINE</v>
          </cell>
          <cell r="D190" t="str">
            <v>NA</v>
          </cell>
          <cell r="E190" t="str">
            <v>NA</v>
          </cell>
          <cell r="F190" t="str">
            <v>NA</v>
          </cell>
        </row>
        <row r="191">
          <cell r="A191" t="str">
            <v>AL012014</v>
          </cell>
          <cell r="B191">
            <v>2014</v>
          </cell>
          <cell r="C191" t="str">
            <v>ARTHUR</v>
          </cell>
          <cell r="D191">
            <v>2</v>
          </cell>
          <cell r="E191">
            <v>85</v>
          </cell>
          <cell r="F191">
            <v>973</v>
          </cell>
        </row>
        <row r="192">
          <cell r="A192" t="str">
            <v>AL032014</v>
          </cell>
          <cell r="B192">
            <v>2014</v>
          </cell>
          <cell r="C192" t="str">
            <v>BERTHA</v>
          </cell>
          <cell r="D192">
            <v>1</v>
          </cell>
          <cell r="E192">
            <v>70</v>
          </cell>
          <cell r="F192">
            <v>998</v>
          </cell>
        </row>
        <row r="193">
          <cell r="A193" t="str">
            <v>AL042014</v>
          </cell>
          <cell r="B193">
            <v>2014</v>
          </cell>
          <cell r="C193" t="str">
            <v>CRISTOBAL</v>
          </cell>
          <cell r="D193">
            <v>1</v>
          </cell>
          <cell r="E193">
            <v>75</v>
          </cell>
          <cell r="F193">
            <v>965</v>
          </cell>
        </row>
        <row r="194">
          <cell r="A194" t="str">
            <v>AL052014</v>
          </cell>
          <cell r="B194">
            <v>2014</v>
          </cell>
          <cell r="C194" t="str">
            <v>DOLLY</v>
          </cell>
          <cell r="D194" t="str">
            <v>NA</v>
          </cell>
          <cell r="E194" t="str">
            <v>NA</v>
          </cell>
          <cell r="F194" t="str">
            <v>NA</v>
          </cell>
        </row>
        <row r="195">
          <cell r="A195" t="str">
            <v>AL062014</v>
          </cell>
          <cell r="B195">
            <v>2014</v>
          </cell>
          <cell r="C195" t="str">
            <v>EDOUARD</v>
          </cell>
          <cell r="D195">
            <v>3</v>
          </cell>
          <cell r="E195">
            <v>105</v>
          </cell>
          <cell r="F195">
            <v>955</v>
          </cell>
        </row>
        <row r="196">
          <cell r="A196" t="str">
            <v>AL072014</v>
          </cell>
          <cell r="B196">
            <v>2014</v>
          </cell>
          <cell r="C196" t="str">
            <v>FAY</v>
          </cell>
          <cell r="D196">
            <v>1</v>
          </cell>
          <cell r="E196">
            <v>70</v>
          </cell>
          <cell r="F196">
            <v>983</v>
          </cell>
        </row>
        <row r="197">
          <cell r="A197" t="str">
            <v>AL082014</v>
          </cell>
          <cell r="B197">
            <v>2014</v>
          </cell>
          <cell r="C197" t="str">
            <v>GONZALO</v>
          </cell>
          <cell r="D197">
            <v>4</v>
          </cell>
          <cell r="E197">
            <v>125</v>
          </cell>
          <cell r="F197">
            <v>940</v>
          </cell>
        </row>
        <row r="198">
          <cell r="A198" t="str">
            <v>AL092014</v>
          </cell>
          <cell r="B198">
            <v>2014</v>
          </cell>
          <cell r="C198" t="str">
            <v>HANNA</v>
          </cell>
          <cell r="D198" t="str">
            <v>NA</v>
          </cell>
          <cell r="E198" t="str">
            <v>NA</v>
          </cell>
          <cell r="F198" t="str">
            <v>NA</v>
          </cell>
        </row>
        <row r="199">
          <cell r="A199" t="str">
            <v>AL022014</v>
          </cell>
          <cell r="B199">
            <v>2014</v>
          </cell>
          <cell r="C199" t="str">
            <v>TWO</v>
          </cell>
          <cell r="D199" t="str">
            <v>NA</v>
          </cell>
          <cell r="E199" t="str">
            <v>NA</v>
          </cell>
          <cell r="F199" t="str">
            <v>NA</v>
          </cell>
        </row>
        <row r="200">
          <cell r="A200" t="str">
            <v>AL012013</v>
          </cell>
          <cell r="B200">
            <v>2013</v>
          </cell>
          <cell r="C200" t="str">
            <v>ANDREA</v>
          </cell>
          <cell r="D200" t="str">
            <v>NA</v>
          </cell>
          <cell r="E200" t="str">
            <v>NA</v>
          </cell>
          <cell r="F200" t="str">
            <v>NA</v>
          </cell>
        </row>
        <row r="201">
          <cell r="A201" t="str">
            <v>AL022013</v>
          </cell>
          <cell r="B201">
            <v>2013</v>
          </cell>
          <cell r="C201" t="str">
            <v>BARRY</v>
          </cell>
          <cell r="D201" t="str">
            <v>NA</v>
          </cell>
          <cell r="E201" t="str">
            <v>NA</v>
          </cell>
          <cell r="F201" t="str">
            <v>NA</v>
          </cell>
        </row>
        <row r="202">
          <cell r="A202" t="str">
            <v>AL032013</v>
          </cell>
          <cell r="B202">
            <v>2013</v>
          </cell>
          <cell r="C202" t="str">
            <v>CHANTAL</v>
          </cell>
          <cell r="D202" t="str">
            <v>NA</v>
          </cell>
          <cell r="E202" t="str">
            <v>NA</v>
          </cell>
          <cell r="F202" t="str">
            <v>NA</v>
          </cell>
        </row>
        <row r="203">
          <cell r="A203" t="str">
            <v>AL042013</v>
          </cell>
          <cell r="B203">
            <v>2013</v>
          </cell>
          <cell r="C203" t="str">
            <v>DORIAN</v>
          </cell>
          <cell r="D203" t="str">
            <v>NA</v>
          </cell>
          <cell r="E203" t="str">
            <v>NA</v>
          </cell>
          <cell r="F203" t="str">
            <v>NA</v>
          </cell>
        </row>
        <row r="204">
          <cell r="A204" t="str">
            <v>AL082013</v>
          </cell>
          <cell r="B204">
            <v>2013</v>
          </cell>
          <cell r="C204" t="str">
            <v>EIGHT</v>
          </cell>
          <cell r="D204" t="str">
            <v>NA</v>
          </cell>
          <cell r="E204" t="str">
            <v>NA</v>
          </cell>
          <cell r="F204" t="str">
            <v>NA</v>
          </cell>
        </row>
        <row r="205">
          <cell r="A205" t="str">
            <v>AL052013</v>
          </cell>
          <cell r="B205">
            <v>2013</v>
          </cell>
          <cell r="C205" t="str">
            <v>ERIN</v>
          </cell>
          <cell r="D205" t="str">
            <v>NA</v>
          </cell>
          <cell r="E205" t="str">
            <v>NA</v>
          </cell>
          <cell r="F205" t="str">
            <v>NA</v>
          </cell>
        </row>
        <row r="206">
          <cell r="A206" t="str">
            <v>AL062013</v>
          </cell>
          <cell r="B206">
            <v>2013</v>
          </cell>
          <cell r="C206" t="str">
            <v>FERNAND</v>
          </cell>
          <cell r="D206" t="str">
            <v>NA</v>
          </cell>
          <cell r="E206" t="str">
            <v>NA</v>
          </cell>
          <cell r="F206" t="str">
            <v>NA</v>
          </cell>
        </row>
        <row r="207">
          <cell r="A207" t="str">
            <v>AL072013</v>
          </cell>
          <cell r="B207">
            <v>2013</v>
          </cell>
          <cell r="C207" t="str">
            <v>GABRIELLE</v>
          </cell>
          <cell r="D207" t="str">
            <v>NA</v>
          </cell>
          <cell r="E207" t="str">
            <v>NA</v>
          </cell>
          <cell r="F207" t="str">
            <v>NA</v>
          </cell>
        </row>
        <row r="208">
          <cell r="A208" t="str">
            <v>AL092013</v>
          </cell>
          <cell r="B208">
            <v>2013</v>
          </cell>
          <cell r="C208" t="str">
            <v>HUMBERTO</v>
          </cell>
          <cell r="D208">
            <v>1</v>
          </cell>
          <cell r="E208">
            <v>80</v>
          </cell>
          <cell r="F208">
            <v>979</v>
          </cell>
        </row>
        <row r="209">
          <cell r="A209" t="str">
            <v>AL102013</v>
          </cell>
          <cell r="B209">
            <v>2013</v>
          </cell>
          <cell r="C209" t="str">
            <v>INGRID</v>
          </cell>
          <cell r="D209">
            <v>1</v>
          </cell>
          <cell r="E209">
            <v>75</v>
          </cell>
          <cell r="F209">
            <v>983</v>
          </cell>
        </row>
        <row r="210">
          <cell r="A210" t="str">
            <v>AL112013</v>
          </cell>
          <cell r="B210">
            <v>2013</v>
          </cell>
          <cell r="C210" t="str">
            <v>JERRY</v>
          </cell>
          <cell r="D210" t="str">
            <v>NA</v>
          </cell>
          <cell r="E210" t="str">
            <v>NA</v>
          </cell>
          <cell r="F210" t="str">
            <v>NA</v>
          </cell>
        </row>
        <row r="211">
          <cell r="A211" t="str">
            <v>AL122013</v>
          </cell>
          <cell r="B211">
            <v>2013</v>
          </cell>
          <cell r="C211" t="str">
            <v>KAREN</v>
          </cell>
          <cell r="D211" t="str">
            <v>NA</v>
          </cell>
          <cell r="E211" t="str">
            <v>NA</v>
          </cell>
          <cell r="F211" t="str">
            <v>NA</v>
          </cell>
        </row>
        <row r="212">
          <cell r="A212" t="str">
            <v>AL132013</v>
          </cell>
          <cell r="B212">
            <v>2013</v>
          </cell>
          <cell r="C212" t="str">
            <v>LORENZO</v>
          </cell>
          <cell r="D212" t="str">
            <v>NA</v>
          </cell>
          <cell r="E212" t="str">
            <v>NA</v>
          </cell>
          <cell r="F212" t="str">
            <v>NA</v>
          </cell>
        </row>
        <row r="213">
          <cell r="A213" t="str">
            <v>AL142013</v>
          </cell>
          <cell r="B213">
            <v>2013</v>
          </cell>
          <cell r="C213" t="str">
            <v>MELISSA</v>
          </cell>
          <cell r="D213" t="str">
            <v>NA</v>
          </cell>
          <cell r="E213" t="str">
            <v>NA</v>
          </cell>
          <cell r="F213" t="str">
            <v>NA</v>
          </cell>
        </row>
        <row r="214">
          <cell r="A214" t="str">
            <v>AL152013</v>
          </cell>
          <cell r="B214">
            <v>2013</v>
          </cell>
          <cell r="C214" t="str">
            <v>STORM 15</v>
          </cell>
          <cell r="D214" t="str">
            <v>NA</v>
          </cell>
          <cell r="E214" t="str">
            <v>NA</v>
          </cell>
          <cell r="F214" t="str">
            <v>NA</v>
          </cell>
        </row>
        <row r="215">
          <cell r="A215" t="str">
            <v>AL012012</v>
          </cell>
          <cell r="B215">
            <v>2012</v>
          </cell>
          <cell r="C215" t="str">
            <v>ALBERTO</v>
          </cell>
          <cell r="D215" t="str">
            <v>NA</v>
          </cell>
          <cell r="E215" t="str">
            <v>NA</v>
          </cell>
          <cell r="F215" t="str">
            <v>NA</v>
          </cell>
        </row>
        <row r="216">
          <cell r="A216" t="str">
            <v>AL022012</v>
          </cell>
          <cell r="B216">
            <v>2012</v>
          </cell>
          <cell r="C216" t="str">
            <v>BERYL</v>
          </cell>
          <cell r="D216" t="str">
            <v>NA</v>
          </cell>
          <cell r="E216" t="str">
            <v>NA</v>
          </cell>
          <cell r="F216" t="str">
            <v>NA</v>
          </cell>
        </row>
        <row r="217">
          <cell r="A217" t="str">
            <v>AL032012</v>
          </cell>
          <cell r="B217">
            <v>2012</v>
          </cell>
          <cell r="C217" t="str">
            <v>CHRIS</v>
          </cell>
          <cell r="D217">
            <v>1</v>
          </cell>
          <cell r="E217">
            <v>75</v>
          </cell>
          <cell r="F217">
            <v>974</v>
          </cell>
        </row>
        <row r="218">
          <cell r="A218" t="str">
            <v>AL042012</v>
          </cell>
          <cell r="B218">
            <v>2012</v>
          </cell>
          <cell r="C218" t="str">
            <v>DEBBY</v>
          </cell>
          <cell r="D218" t="str">
            <v>NA</v>
          </cell>
          <cell r="E218" t="str">
            <v>NA</v>
          </cell>
          <cell r="F218" t="str">
            <v>NA</v>
          </cell>
        </row>
        <row r="219">
          <cell r="A219" t="str">
            <v>AL052012</v>
          </cell>
          <cell r="B219">
            <v>2012</v>
          </cell>
          <cell r="C219" t="str">
            <v>ERNESTO</v>
          </cell>
          <cell r="D219">
            <v>2</v>
          </cell>
          <cell r="E219">
            <v>85</v>
          </cell>
          <cell r="F219">
            <v>973</v>
          </cell>
        </row>
        <row r="220">
          <cell r="A220" t="str">
            <v>AL062012</v>
          </cell>
          <cell r="B220">
            <v>2012</v>
          </cell>
          <cell r="C220" t="str">
            <v>FLORENCE</v>
          </cell>
          <cell r="D220" t="str">
            <v>NA</v>
          </cell>
          <cell r="E220" t="str">
            <v>NA</v>
          </cell>
          <cell r="F220" t="str">
            <v>NA</v>
          </cell>
        </row>
        <row r="221">
          <cell r="A221" t="str">
            <v>AL082012</v>
          </cell>
          <cell r="B221">
            <v>2012</v>
          </cell>
          <cell r="C221" t="str">
            <v>GORDON</v>
          </cell>
          <cell r="D221">
            <v>2</v>
          </cell>
          <cell r="E221">
            <v>95</v>
          </cell>
          <cell r="F221">
            <v>965</v>
          </cell>
        </row>
        <row r="222">
          <cell r="A222" t="str">
            <v>AL072012</v>
          </cell>
          <cell r="B222">
            <v>2012</v>
          </cell>
          <cell r="C222" t="str">
            <v>HELENE</v>
          </cell>
          <cell r="D222" t="str">
            <v>NA</v>
          </cell>
          <cell r="E222" t="str">
            <v>NA</v>
          </cell>
          <cell r="F222" t="str">
            <v>NA</v>
          </cell>
        </row>
        <row r="223">
          <cell r="A223" t="str">
            <v>AL092012</v>
          </cell>
          <cell r="B223">
            <v>2012</v>
          </cell>
          <cell r="C223" t="str">
            <v>ISAAC</v>
          </cell>
          <cell r="D223">
            <v>1</v>
          </cell>
          <cell r="E223">
            <v>70</v>
          </cell>
          <cell r="F223">
            <v>965</v>
          </cell>
        </row>
        <row r="224">
          <cell r="A224" t="str">
            <v>AL102012</v>
          </cell>
          <cell r="B224">
            <v>2012</v>
          </cell>
          <cell r="C224" t="str">
            <v>JOYCE</v>
          </cell>
          <cell r="D224" t="str">
            <v>NA</v>
          </cell>
          <cell r="E224" t="str">
            <v>NA</v>
          </cell>
          <cell r="F224" t="str">
            <v>NA</v>
          </cell>
        </row>
        <row r="225">
          <cell r="A225" t="str">
            <v>AL112012</v>
          </cell>
          <cell r="B225">
            <v>2012</v>
          </cell>
          <cell r="C225" t="str">
            <v>KIRK</v>
          </cell>
          <cell r="D225">
            <v>2</v>
          </cell>
          <cell r="E225">
            <v>90</v>
          </cell>
          <cell r="F225">
            <v>970</v>
          </cell>
        </row>
        <row r="226">
          <cell r="A226" t="str">
            <v>AL122012</v>
          </cell>
          <cell r="B226">
            <v>2012</v>
          </cell>
          <cell r="C226" t="str">
            <v>LESLIE</v>
          </cell>
          <cell r="D226">
            <v>1</v>
          </cell>
          <cell r="E226">
            <v>70</v>
          </cell>
          <cell r="F226">
            <v>968</v>
          </cell>
        </row>
        <row r="227">
          <cell r="A227" t="str">
            <v>AL132012</v>
          </cell>
          <cell r="B227">
            <v>2012</v>
          </cell>
          <cell r="C227" t="str">
            <v>MICHAEL</v>
          </cell>
          <cell r="D227">
            <v>3</v>
          </cell>
          <cell r="E227">
            <v>100</v>
          </cell>
          <cell r="F227">
            <v>964</v>
          </cell>
        </row>
        <row r="228">
          <cell r="A228" t="str">
            <v>AL142012</v>
          </cell>
          <cell r="B228">
            <v>2012</v>
          </cell>
          <cell r="C228" t="str">
            <v>NADINE</v>
          </cell>
          <cell r="D228">
            <v>1</v>
          </cell>
          <cell r="E228">
            <v>80</v>
          </cell>
          <cell r="F228">
            <v>978</v>
          </cell>
        </row>
        <row r="229">
          <cell r="A229" t="str">
            <v>AL152012</v>
          </cell>
          <cell r="B229">
            <v>2012</v>
          </cell>
          <cell r="C229" t="str">
            <v>OSCAR</v>
          </cell>
          <cell r="D229" t="str">
            <v>NA</v>
          </cell>
          <cell r="E229" t="str">
            <v>NA</v>
          </cell>
          <cell r="F229" t="str">
            <v>NA</v>
          </cell>
        </row>
        <row r="230">
          <cell r="A230" t="str">
            <v>AL162012</v>
          </cell>
          <cell r="B230">
            <v>2012</v>
          </cell>
          <cell r="C230" t="str">
            <v>PATTY</v>
          </cell>
          <cell r="D230" t="str">
            <v>NA</v>
          </cell>
          <cell r="E230" t="str">
            <v>NA</v>
          </cell>
          <cell r="F230" t="str">
            <v>NA</v>
          </cell>
        </row>
        <row r="231">
          <cell r="A231" t="str">
            <v>AL172012</v>
          </cell>
          <cell r="B231">
            <v>2012</v>
          </cell>
          <cell r="C231" t="str">
            <v>RAFAEL</v>
          </cell>
          <cell r="D231">
            <v>1</v>
          </cell>
          <cell r="E231">
            <v>80</v>
          </cell>
          <cell r="F231">
            <v>969</v>
          </cell>
        </row>
        <row r="232">
          <cell r="A232" t="str">
            <v>AL182012</v>
          </cell>
          <cell r="B232">
            <v>2012</v>
          </cell>
          <cell r="C232" t="str">
            <v>SANDY</v>
          </cell>
          <cell r="D232">
            <v>3</v>
          </cell>
          <cell r="E232">
            <v>100</v>
          </cell>
          <cell r="F232">
            <v>940</v>
          </cell>
        </row>
        <row r="233">
          <cell r="A233" t="str">
            <v>AL192012</v>
          </cell>
          <cell r="B233">
            <v>2012</v>
          </cell>
          <cell r="C233" t="str">
            <v>TONY</v>
          </cell>
          <cell r="D233" t="str">
            <v>NA</v>
          </cell>
          <cell r="E233" t="str">
            <v>NA</v>
          </cell>
          <cell r="F233" t="str">
            <v>NA</v>
          </cell>
        </row>
        <row r="234">
          <cell r="A234" t="str">
            <v>AL012011</v>
          </cell>
          <cell r="B234">
            <v>2011</v>
          </cell>
          <cell r="C234" t="str">
            <v>ARLENE</v>
          </cell>
          <cell r="D234" t="str">
            <v>NA</v>
          </cell>
          <cell r="E234" t="str">
            <v>NA</v>
          </cell>
          <cell r="F234" t="str">
            <v>NA</v>
          </cell>
        </row>
        <row r="235">
          <cell r="A235" t="str">
            <v>AL022011</v>
          </cell>
          <cell r="B235">
            <v>2011</v>
          </cell>
          <cell r="C235" t="str">
            <v>BRET</v>
          </cell>
          <cell r="D235" t="str">
            <v>NA</v>
          </cell>
          <cell r="E235" t="str">
            <v>NA</v>
          </cell>
          <cell r="F235" t="str">
            <v>NA</v>
          </cell>
        </row>
        <row r="236">
          <cell r="A236" t="str">
            <v>AL032011</v>
          </cell>
          <cell r="B236">
            <v>2011</v>
          </cell>
          <cell r="C236" t="str">
            <v>CINDY</v>
          </cell>
          <cell r="D236" t="str">
            <v>NA</v>
          </cell>
          <cell r="E236" t="str">
            <v>NA</v>
          </cell>
          <cell r="F236" t="str">
            <v>NA</v>
          </cell>
        </row>
        <row r="237">
          <cell r="A237" t="str">
            <v>AL042011</v>
          </cell>
          <cell r="B237">
            <v>2011</v>
          </cell>
          <cell r="C237" t="str">
            <v>DON</v>
          </cell>
          <cell r="D237" t="str">
            <v>NA</v>
          </cell>
          <cell r="E237" t="str">
            <v>NA</v>
          </cell>
          <cell r="F237" t="str">
            <v>NA</v>
          </cell>
        </row>
        <row r="238">
          <cell r="A238" t="str">
            <v>AL052011</v>
          </cell>
          <cell r="B238">
            <v>2011</v>
          </cell>
          <cell r="C238" t="str">
            <v>EMILY</v>
          </cell>
          <cell r="D238" t="str">
            <v>NA</v>
          </cell>
          <cell r="E238" t="str">
            <v>NA</v>
          </cell>
          <cell r="F238" t="str">
            <v>NA</v>
          </cell>
        </row>
        <row r="239">
          <cell r="A239" t="str">
            <v>AL062011</v>
          </cell>
          <cell r="B239">
            <v>2011</v>
          </cell>
          <cell r="C239" t="str">
            <v>FRANKLIN</v>
          </cell>
          <cell r="D239" t="str">
            <v>NA</v>
          </cell>
          <cell r="E239" t="str">
            <v>NA</v>
          </cell>
          <cell r="F239" t="str">
            <v>NA</v>
          </cell>
        </row>
        <row r="240">
          <cell r="A240" t="str">
            <v>AL072011</v>
          </cell>
          <cell r="B240">
            <v>2011</v>
          </cell>
          <cell r="C240" t="str">
            <v>GERT</v>
          </cell>
          <cell r="D240" t="str">
            <v>NA</v>
          </cell>
          <cell r="E240" t="str">
            <v>NA</v>
          </cell>
          <cell r="F240" t="str">
            <v>NA</v>
          </cell>
        </row>
        <row r="241">
          <cell r="A241" t="str">
            <v>AL082011</v>
          </cell>
          <cell r="B241">
            <v>2011</v>
          </cell>
          <cell r="C241" t="str">
            <v>HARVEY</v>
          </cell>
          <cell r="D241" t="str">
            <v>NA</v>
          </cell>
          <cell r="E241" t="str">
            <v>NA</v>
          </cell>
          <cell r="F241" t="str">
            <v>NA</v>
          </cell>
        </row>
        <row r="242">
          <cell r="A242" t="str">
            <v>AL092011</v>
          </cell>
          <cell r="B242">
            <v>2011</v>
          </cell>
          <cell r="C242" t="str">
            <v>IRENE</v>
          </cell>
          <cell r="D242">
            <v>3</v>
          </cell>
          <cell r="E242">
            <v>105</v>
          </cell>
          <cell r="F242">
            <v>942</v>
          </cell>
        </row>
        <row r="243">
          <cell r="A243" t="str">
            <v>AL112011</v>
          </cell>
          <cell r="B243">
            <v>2011</v>
          </cell>
          <cell r="C243" t="str">
            <v>JOSE</v>
          </cell>
          <cell r="D243" t="str">
            <v>NA</v>
          </cell>
          <cell r="E243" t="str">
            <v>NA</v>
          </cell>
          <cell r="F243" t="str">
            <v>NA</v>
          </cell>
        </row>
        <row r="244">
          <cell r="A244" t="str">
            <v>AL122011</v>
          </cell>
          <cell r="B244">
            <v>2011</v>
          </cell>
          <cell r="C244" t="str">
            <v>KATIA</v>
          </cell>
          <cell r="D244">
            <v>4</v>
          </cell>
          <cell r="E244">
            <v>120</v>
          </cell>
          <cell r="F244">
            <v>942</v>
          </cell>
        </row>
        <row r="245">
          <cell r="A245" t="str">
            <v>AL132011</v>
          </cell>
          <cell r="B245">
            <v>2011</v>
          </cell>
          <cell r="C245" t="str">
            <v>LEE</v>
          </cell>
          <cell r="D245" t="str">
            <v>NA</v>
          </cell>
          <cell r="E245" t="str">
            <v>NA</v>
          </cell>
          <cell r="F245" t="str">
            <v>NA</v>
          </cell>
        </row>
        <row r="246">
          <cell r="A246" t="str">
            <v>AL142011</v>
          </cell>
          <cell r="B246">
            <v>2011</v>
          </cell>
          <cell r="C246" t="str">
            <v>MARIA</v>
          </cell>
          <cell r="D246">
            <v>1</v>
          </cell>
          <cell r="E246">
            <v>70</v>
          </cell>
          <cell r="F246">
            <v>983</v>
          </cell>
        </row>
        <row r="247">
          <cell r="A247" t="str">
            <v>AL152011</v>
          </cell>
          <cell r="B247">
            <v>2011</v>
          </cell>
          <cell r="C247" t="str">
            <v>NATE</v>
          </cell>
          <cell r="D247">
            <v>1</v>
          </cell>
          <cell r="E247">
            <v>65</v>
          </cell>
          <cell r="F247">
            <v>994</v>
          </cell>
        </row>
        <row r="248">
          <cell r="A248" t="str">
            <v>AL162011</v>
          </cell>
          <cell r="B248">
            <v>2011</v>
          </cell>
          <cell r="C248" t="str">
            <v>OPHELIA</v>
          </cell>
          <cell r="D248">
            <v>4</v>
          </cell>
          <cell r="E248">
            <v>120</v>
          </cell>
          <cell r="F248">
            <v>940</v>
          </cell>
        </row>
        <row r="249">
          <cell r="A249" t="str">
            <v>AL172011</v>
          </cell>
          <cell r="B249">
            <v>2011</v>
          </cell>
          <cell r="C249" t="str">
            <v>PHILIPPE</v>
          </cell>
          <cell r="D249">
            <v>1</v>
          </cell>
          <cell r="E249">
            <v>80</v>
          </cell>
          <cell r="F249">
            <v>976</v>
          </cell>
        </row>
        <row r="250">
          <cell r="A250" t="str">
            <v>AL182011</v>
          </cell>
          <cell r="B250">
            <v>2011</v>
          </cell>
          <cell r="C250" t="str">
            <v>RINA</v>
          </cell>
          <cell r="D250">
            <v>3</v>
          </cell>
          <cell r="E250">
            <v>100</v>
          </cell>
          <cell r="F250">
            <v>966</v>
          </cell>
        </row>
        <row r="251">
          <cell r="A251" t="str">
            <v>AL192011</v>
          </cell>
          <cell r="B251">
            <v>2011</v>
          </cell>
          <cell r="C251" t="str">
            <v>SEAN</v>
          </cell>
          <cell r="D251" t="str">
            <v>NA</v>
          </cell>
          <cell r="E251" t="str">
            <v>NA</v>
          </cell>
          <cell r="F251" t="str">
            <v>NA</v>
          </cell>
        </row>
        <row r="252">
          <cell r="A252" t="str">
            <v>AL202011</v>
          </cell>
          <cell r="B252">
            <v>2011</v>
          </cell>
          <cell r="C252" t="str">
            <v>STORM 20</v>
          </cell>
          <cell r="D252" t="str">
            <v>NA</v>
          </cell>
          <cell r="E252" t="str">
            <v>NA</v>
          </cell>
          <cell r="F252" t="str">
            <v>NA</v>
          </cell>
        </row>
        <row r="253">
          <cell r="A253" t="str">
            <v>AL102011</v>
          </cell>
          <cell r="B253">
            <v>2011</v>
          </cell>
          <cell r="C253" t="str">
            <v>TEN</v>
          </cell>
          <cell r="D253" t="str">
            <v>NA</v>
          </cell>
          <cell r="E253" t="str">
            <v>NA</v>
          </cell>
          <cell r="F253" t="str">
            <v>NA</v>
          </cell>
        </row>
        <row r="254">
          <cell r="A254" t="str">
            <v>AL012010</v>
          </cell>
          <cell r="B254">
            <v>2010</v>
          </cell>
          <cell r="C254" t="str">
            <v>ALEX</v>
          </cell>
          <cell r="D254">
            <v>2</v>
          </cell>
          <cell r="E254">
            <v>95</v>
          </cell>
          <cell r="F254">
            <v>946</v>
          </cell>
        </row>
        <row r="255">
          <cell r="A255" t="str">
            <v>AL032010</v>
          </cell>
          <cell r="B255">
            <v>2010</v>
          </cell>
          <cell r="C255" t="str">
            <v>BONNIE</v>
          </cell>
          <cell r="D255" t="str">
            <v>NA</v>
          </cell>
          <cell r="E255" t="str">
            <v>NA</v>
          </cell>
          <cell r="F255" t="str">
            <v>NA</v>
          </cell>
        </row>
        <row r="256">
          <cell r="A256" t="str">
            <v>AL042010</v>
          </cell>
          <cell r="B256">
            <v>2010</v>
          </cell>
          <cell r="C256" t="str">
            <v>COLIN</v>
          </cell>
          <cell r="D256" t="str">
            <v>NA</v>
          </cell>
          <cell r="E256" t="str">
            <v>NA</v>
          </cell>
          <cell r="F256" t="str">
            <v>NA</v>
          </cell>
        </row>
        <row r="257">
          <cell r="A257" t="str">
            <v>AL062010</v>
          </cell>
          <cell r="B257">
            <v>2010</v>
          </cell>
          <cell r="C257" t="str">
            <v>DANIELLE</v>
          </cell>
          <cell r="D257">
            <v>4</v>
          </cell>
          <cell r="E257">
            <v>115</v>
          </cell>
          <cell r="F257">
            <v>942</v>
          </cell>
        </row>
        <row r="258">
          <cell r="A258" t="str">
            <v>AL072010</v>
          </cell>
          <cell r="B258">
            <v>2010</v>
          </cell>
          <cell r="C258" t="str">
            <v>EARL</v>
          </cell>
          <cell r="D258">
            <v>4</v>
          </cell>
          <cell r="E258">
            <v>125</v>
          </cell>
          <cell r="F258">
            <v>927</v>
          </cell>
        </row>
        <row r="259">
          <cell r="A259" t="str">
            <v>AL082010</v>
          </cell>
          <cell r="B259">
            <v>2010</v>
          </cell>
          <cell r="C259" t="str">
            <v>FIONA</v>
          </cell>
          <cell r="D259" t="str">
            <v>NA</v>
          </cell>
          <cell r="E259" t="str">
            <v>NA</v>
          </cell>
          <cell r="F259" t="str">
            <v>NA</v>
          </cell>
        </row>
        <row r="260">
          <cell r="A260" t="str">
            <v>AL052010</v>
          </cell>
          <cell r="B260">
            <v>2010</v>
          </cell>
          <cell r="C260" t="str">
            <v>FIVE</v>
          </cell>
          <cell r="D260" t="str">
            <v>NA</v>
          </cell>
          <cell r="E260" t="str">
            <v>NA</v>
          </cell>
          <cell r="F260" t="str">
            <v>NA</v>
          </cell>
        </row>
        <row r="261">
          <cell r="A261" t="str">
            <v>AL092010</v>
          </cell>
          <cell r="B261">
            <v>2010</v>
          </cell>
          <cell r="C261" t="str">
            <v>GASTON</v>
          </cell>
          <cell r="D261" t="str">
            <v>NA</v>
          </cell>
          <cell r="E261" t="str">
            <v>NA</v>
          </cell>
          <cell r="F261" t="str">
            <v>NA</v>
          </cell>
        </row>
        <row r="262">
          <cell r="A262" t="str">
            <v>AL102010</v>
          </cell>
          <cell r="B262">
            <v>2010</v>
          </cell>
          <cell r="C262" t="str">
            <v>HERMINE</v>
          </cell>
          <cell r="D262" t="str">
            <v>NA</v>
          </cell>
          <cell r="E262" t="str">
            <v>NA</v>
          </cell>
          <cell r="F262" t="str">
            <v>NA</v>
          </cell>
        </row>
        <row r="263">
          <cell r="A263" t="str">
            <v>AL112010</v>
          </cell>
          <cell r="B263">
            <v>2010</v>
          </cell>
          <cell r="C263" t="str">
            <v>IGOR</v>
          </cell>
          <cell r="D263">
            <v>4</v>
          </cell>
          <cell r="E263">
            <v>135</v>
          </cell>
          <cell r="F263">
            <v>924</v>
          </cell>
        </row>
        <row r="264">
          <cell r="A264" t="str">
            <v>AL122010</v>
          </cell>
          <cell r="B264">
            <v>2010</v>
          </cell>
          <cell r="C264" t="str">
            <v>JULIA</v>
          </cell>
          <cell r="D264">
            <v>4</v>
          </cell>
          <cell r="E264">
            <v>120</v>
          </cell>
          <cell r="F264">
            <v>948</v>
          </cell>
        </row>
        <row r="265">
          <cell r="A265" t="str">
            <v>AL132010</v>
          </cell>
          <cell r="B265">
            <v>2010</v>
          </cell>
          <cell r="C265" t="str">
            <v>KARL</v>
          </cell>
          <cell r="D265">
            <v>3</v>
          </cell>
          <cell r="E265">
            <v>110</v>
          </cell>
          <cell r="F265">
            <v>956</v>
          </cell>
        </row>
        <row r="266">
          <cell r="A266" t="str">
            <v>AL142010</v>
          </cell>
          <cell r="B266">
            <v>2010</v>
          </cell>
          <cell r="C266" t="str">
            <v>LISA</v>
          </cell>
          <cell r="D266">
            <v>1</v>
          </cell>
          <cell r="E266">
            <v>75</v>
          </cell>
          <cell r="F266">
            <v>982</v>
          </cell>
        </row>
        <row r="267">
          <cell r="A267" t="str">
            <v>AL152010</v>
          </cell>
          <cell r="B267">
            <v>2010</v>
          </cell>
          <cell r="C267" t="str">
            <v>MATTHEW</v>
          </cell>
          <cell r="D267" t="str">
            <v>NA</v>
          </cell>
          <cell r="E267" t="str">
            <v>NA</v>
          </cell>
          <cell r="F267" t="str">
            <v>NA</v>
          </cell>
        </row>
        <row r="268">
          <cell r="A268" t="str">
            <v>AL162010</v>
          </cell>
          <cell r="B268">
            <v>2010</v>
          </cell>
          <cell r="C268" t="str">
            <v>NICOLE</v>
          </cell>
          <cell r="D268" t="str">
            <v>NA</v>
          </cell>
          <cell r="E268" t="str">
            <v>NA</v>
          </cell>
          <cell r="F268" t="str">
            <v>NA</v>
          </cell>
        </row>
        <row r="269">
          <cell r="A269" t="str">
            <v>AL172010</v>
          </cell>
          <cell r="B269">
            <v>2010</v>
          </cell>
          <cell r="C269" t="str">
            <v>OTTO</v>
          </cell>
          <cell r="D269">
            <v>1</v>
          </cell>
          <cell r="E269">
            <v>75</v>
          </cell>
          <cell r="F269">
            <v>976</v>
          </cell>
        </row>
        <row r="270">
          <cell r="A270" t="str">
            <v>AL182010</v>
          </cell>
          <cell r="B270">
            <v>2010</v>
          </cell>
          <cell r="C270" t="str">
            <v>PAULA</v>
          </cell>
          <cell r="D270">
            <v>2</v>
          </cell>
          <cell r="E270">
            <v>90</v>
          </cell>
          <cell r="F270">
            <v>981</v>
          </cell>
        </row>
        <row r="271">
          <cell r="A271" t="str">
            <v>AL192010</v>
          </cell>
          <cell r="B271">
            <v>2010</v>
          </cell>
          <cell r="C271" t="str">
            <v>RICHARD</v>
          </cell>
          <cell r="D271">
            <v>2</v>
          </cell>
          <cell r="E271">
            <v>85</v>
          </cell>
          <cell r="F271">
            <v>977</v>
          </cell>
        </row>
        <row r="272">
          <cell r="A272" t="str">
            <v>AL202010</v>
          </cell>
          <cell r="B272">
            <v>2010</v>
          </cell>
          <cell r="C272" t="str">
            <v>SHARY</v>
          </cell>
          <cell r="D272">
            <v>1</v>
          </cell>
          <cell r="E272">
            <v>65</v>
          </cell>
          <cell r="F272">
            <v>989</v>
          </cell>
        </row>
        <row r="273">
          <cell r="A273" t="str">
            <v>AL212010</v>
          </cell>
          <cell r="B273">
            <v>2010</v>
          </cell>
          <cell r="C273" t="str">
            <v>TOMAS</v>
          </cell>
          <cell r="D273">
            <v>2</v>
          </cell>
          <cell r="E273">
            <v>85</v>
          </cell>
          <cell r="F273">
            <v>982</v>
          </cell>
        </row>
        <row r="274">
          <cell r="A274" t="str">
            <v>AL022010</v>
          </cell>
          <cell r="B274">
            <v>2010</v>
          </cell>
          <cell r="C274" t="str">
            <v>TWO</v>
          </cell>
          <cell r="D274" t="str">
            <v>NA</v>
          </cell>
          <cell r="E274" t="str">
            <v>NA</v>
          </cell>
          <cell r="F274" t="str">
            <v>NA</v>
          </cell>
        </row>
        <row r="275">
          <cell r="A275" t="str">
            <v>AL022009</v>
          </cell>
          <cell r="B275">
            <v>2009</v>
          </cell>
          <cell r="C275" t="str">
            <v>ANA</v>
          </cell>
          <cell r="D275" t="str">
            <v>NA</v>
          </cell>
          <cell r="E275" t="str">
            <v>NA</v>
          </cell>
          <cell r="F275" t="str">
            <v>NA</v>
          </cell>
        </row>
        <row r="276">
          <cell r="A276" t="str">
            <v>AL032009</v>
          </cell>
          <cell r="B276">
            <v>2009</v>
          </cell>
          <cell r="C276" t="str">
            <v>BILL</v>
          </cell>
          <cell r="D276">
            <v>4</v>
          </cell>
          <cell r="E276">
            <v>115</v>
          </cell>
          <cell r="F276">
            <v>943</v>
          </cell>
        </row>
        <row r="277">
          <cell r="A277" t="str">
            <v>AL042009</v>
          </cell>
          <cell r="B277">
            <v>2009</v>
          </cell>
          <cell r="C277" t="str">
            <v>CLAUDETTE</v>
          </cell>
          <cell r="D277" t="str">
            <v>NA</v>
          </cell>
          <cell r="E277" t="str">
            <v>NA</v>
          </cell>
          <cell r="F277" t="str">
            <v>NA</v>
          </cell>
        </row>
        <row r="278">
          <cell r="A278" t="str">
            <v>AL052009</v>
          </cell>
          <cell r="B278">
            <v>2009</v>
          </cell>
          <cell r="C278" t="str">
            <v>DANNY</v>
          </cell>
          <cell r="D278" t="str">
            <v>NA</v>
          </cell>
          <cell r="E278" t="str">
            <v>NA</v>
          </cell>
          <cell r="F278" t="str">
            <v>NA</v>
          </cell>
        </row>
        <row r="279">
          <cell r="A279" t="str">
            <v>AL082009</v>
          </cell>
          <cell r="B279">
            <v>2009</v>
          </cell>
          <cell r="C279" t="str">
            <v>EIGHT</v>
          </cell>
          <cell r="D279" t="str">
            <v>NA</v>
          </cell>
          <cell r="E279" t="str">
            <v>NA</v>
          </cell>
          <cell r="F279" t="str">
            <v>NA</v>
          </cell>
        </row>
        <row r="280">
          <cell r="A280" t="str">
            <v>AL062009</v>
          </cell>
          <cell r="B280">
            <v>2009</v>
          </cell>
          <cell r="C280" t="str">
            <v>ERIKA</v>
          </cell>
          <cell r="D280" t="str">
            <v>NA</v>
          </cell>
          <cell r="E280" t="str">
            <v>NA</v>
          </cell>
          <cell r="F280" t="str">
            <v>NA</v>
          </cell>
        </row>
        <row r="281">
          <cell r="A281" t="str">
            <v>AL072009</v>
          </cell>
          <cell r="B281">
            <v>2009</v>
          </cell>
          <cell r="C281" t="str">
            <v>FRED</v>
          </cell>
          <cell r="D281">
            <v>3</v>
          </cell>
          <cell r="E281">
            <v>105</v>
          </cell>
          <cell r="F281">
            <v>958</v>
          </cell>
        </row>
        <row r="282">
          <cell r="A282" t="str">
            <v>AL092009</v>
          </cell>
          <cell r="B282">
            <v>2009</v>
          </cell>
          <cell r="C282" t="str">
            <v>GRACE</v>
          </cell>
          <cell r="D282" t="str">
            <v>NA</v>
          </cell>
          <cell r="E282" t="str">
            <v>NA</v>
          </cell>
          <cell r="F282" t="str">
            <v>NA</v>
          </cell>
        </row>
        <row r="283">
          <cell r="A283" t="str">
            <v>AL102009</v>
          </cell>
          <cell r="B283">
            <v>2009</v>
          </cell>
          <cell r="C283" t="str">
            <v>HENRI</v>
          </cell>
          <cell r="D283" t="str">
            <v>NA</v>
          </cell>
          <cell r="E283" t="str">
            <v>NA</v>
          </cell>
          <cell r="F283" t="str">
            <v>NA</v>
          </cell>
        </row>
        <row r="284">
          <cell r="A284" t="str">
            <v>AL112009</v>
          </cell>
          <cell r="B284">
            <v>2009</v>
          </cell>
          <cell r="C284" t="str">
            <v>IDA</v>
          </cell>
          <cell r="D284">
            <v>2</v>
          </cell>
          <cell r="E284">
            <v>90</v>
          </cell>
          <cell r="F284">
            <v>975</v>
          </cell>
        </row>
        <row r="285">
          <cell r="A285" t="str">
            <v>AL012009</v>
          </cell>
          <cell r="B285">
            <v>2009</v>
          </cell>
          <cell r="C285" t="str">
            <v>ONE</v>
          </cell>
          <cell r="D285" t="str">
            <v>NA</v>
          </cell>
          <cell r="E285" t="str">
            <v>NA</v>
          </cell>
          <cell r="F285" t="str">
            <v>NA</v>
          </cell>
        </row>
        <row r="286">
          <cell r="A286" t="str">
            <v>AL012008</v>
          </cell>
          <cell r="B286">
            <v>2008</v>
          </cell>
          <cell r="C286" t="str">
            <v>ARTHUR</v>
          </cell>
          <cell r="D286" t="str">
            <v>NA</v>
          </cell>
          <cell r="E286" t="str">
            <v>NA</v>
          </cell>
          <cell r="F286" t="str">
            <v>NA</v>
          </cell>
        </row>
        <row r="287">
          <cell r="A287" t="str">
            <v>AL022008</v>
          </cell>
          <cell r="B287">
            <v>2008</v>
          </cell>
          <cell r="C287" t="str">
            <v>BERTHA</v>
          </cell>
          <cell r="D287">
            <v>3</v>
          </cell>
          <cell r="E287">
            <v>110</v>
          </cell>
          <cell r="F287">
            <v>952</v>
          </cell>
        </row>
        <row r="288">
          <cell r="A288" t="str">
            <v>AL032008</v>
          </cell>
          <cell r="B288">
            <v>2008</v>
          </cell>
          <cell r="C288" t="str">
            <v>CRISTOBAL</v>
          </cell>
          <cell r="D288" t="str">
            <v>NA</v>
          </cell>
          <cell r="E288" t="str">
            <v>NA</v>
          </cell>
          <cell r="F288" t="str">
            <v>NA</v>
          </cell>
        </row>
        <row r="289">
          <cell r="A289" t="str">
            <v>AL042008</v>
          </cell>
          <cell r="B289">
            <v>2008</v>
          </cell>
          <cell r="C289" t="str">
            <v>DOLLY</v>
          </cell>
          <cell r="D289">
            <v>2</v>
          </cell>
          <cell r="E289">
            <v>85</v>
          </cell>
          <cell r="F289">
            <v>963</v>
          </cell>
        </row>
        <row r="290">
          <cell r="A290" t="str">
            <v>AL052008</v>
          </cell>
          <cell r="B290">
            <v>2008</v>
          </cell>
          <cell r="C290" t="str">
            <v>EDOUARD</v>
          </cell>
          <cell r="D290" t="str">
            <v>NA</v>
          </cell>
          <cell r="E290" t="str">
            <v>NA</v>
          </cell>
          <cell r="F290" t="str">
            <v>NA</v>
          </cell>
        </row>
        <row r="291">
          <cell r="A291" t="str">
            <v>AL062008</v>
          </cell>
          <cell r="B291">
            <v>2008</v>
          </cell>
          <cell r="C291" t="str">
            <v>FAY</v>
          </cell>
          <cell r="D291" t="str">
            <v>NA</v>
          </cell>
          <cell r="E291" t="str">
            <v>NA</v>
          </cell>
          <cell r="F291" t="str">
            <v>NA</v>
          </cell>
        </row>
        <row r="292">
          <cell r="A292" t="str">
            <v>AL072008</v>
          </cell>
          <cell r="B292">
            <v>2008</v>
          </cell>
          <cell r="C292" t="str">
            <v>GUSTAV</v>
          </cell>
          <cell r="D292">
            <v>4</v>
          </cell>
          <cell r="E292">
            <v>135</v>
          </cell>
          <cell r="F292">
            <v>941</v>
          </cell>
        </row>
        <row r="293">
          <cell r="A293" t="str">
            <v>AL082008</v>
          </cell>
          <cell r="B293">
            <v>2008</v>
          </cell>
          <cell r="C293" t="str">
            <v>HANNA</v>
          </cell>
          <cell r="D293">
            <v>1</v>
          </cell>
          <cell r="E293">
            <v>75</v>
          </cell>
          <cell r="F293">
            <v>977</v>
          </cell>
        </row>
        <row r="294">
          <cell r="A294" t="str">
            <v>AL092008</v>
          </cell>
          <cell r="B294">
            <v>2008</v>
          </cell>
          <cell r="C294" t="str">
            <v>IKE</v>
          </cell>
          <cell r="D294">
            <v>4</v>
          </cell>
          <cell r="E294">
            <v>125</v>
          </cell>
          <cell r="F294">
            <v>935</v>
          </cell>
        </row>
        <row r="295">
          <cell r="A295" t="str">
            <v>AL102008</v>
          </cell>
          <cell r="B295">
            <v>2008</v>
          </cell>
          <cell r="C295" t="str">
            <v>JOSEPHINE</v>
          </cell>
          <cell r="D295" t="str">
            <v>NA</v>
          </cell>
          <cell r="E295" t="str">
            <v>NA</v>
          </cell>
          <cell r="F295" t="str">
            <v>NA</v>
          </cell>
        </row>
        <row r="296">
          <cell r="A296" t="str">
            <v>AL112008</v>
          </cell>
          <cell r="B296">
            <v>2008</v>
          </cell>
          <cell r="C296" t="str">
            <v>KYLE</v>
          </cell>
          <cell r="D296">
            <v>1</v>
          </cell>
          <cell r="E296">
            <v>75</v>
          </cell>
          <cell r="F296">
            <v>984</v>
          </cell>
        </row>
        <row r="297">
          <cell r="A297" t="str">
            <v>AL122008</v>
          </cell>
          <cell r="B297">
            <v>2008</v>
          </cell>
          <cell r="C297" t="str">
            <v>LAURA</v>
          </cell>
          <cell r="D297" t="str">
            <v>NA</v>
          </cell>
          <cell r="E297" t="str">
            <v>NA</v>
          </cell>
          <cell r="F297" t="str">
            <v>NA</v>
          </cell>
        </row>
        <row r="298">
          <cell r="A298" t="str">
            <v>AL132008</v>
          </cell>
          <cell r="B298">
            <v>2008</v>
          </cell>
          <cell r="C298" t="str">
            <v>MARCO</v>
          </cell>
          <cell r="D298" t="str">
            <v>NA</v>
          </cell>
          <cell r="E298" t="str">
            <v>NA</v>
          </cell>
          <cell r="F298" t="str">
            <v>NA</v>
          </cell>
        </row>
        <row r="299">
          <cell r="A299" t="str">
            <v>AL142008</v>
          </cell>
          <cell r="B299">
            <v>2008</v>
          </cell>
          <cell r="C299" t="str">
            <v>NANA</v>
          </cell>
          <cell r="D299" t="str">
            <v>NA</v>
          </cell>
          <cell r="E299" t="str">
            <v>NA</v>
          </cell>
          <cell r="F299" t="str">
            <v>NA</v>
          </cell>
        </row>
        <row r="300">
          <cell r="A300" t="str">
            <v>AL152008</v>
          </cell>
          <cell r="B300">
            <v>2008</v>
          </cell>
          <cell r="C300" t="str">
            <v>OMAR</v>
          </cell>
          <cell r="D300">
            <v>4</v>
          </cell>
          <cell r="E300">
            <v>115</v>
          </cell>
          <cell r="F300">
            <v>958</v>
          </cell>
        </row>
        <row r="301">
          <cell r="A301" t="str">
            <v>AL172008</v>
          </cell>
          <cell r="B301">
            <v>2008</v>
          </cell>
          <cell r="C301" t="str">
            <v>PALOMA</v>
          </cell>
          <cell r="D301">
            <v>4</v>
          </cell>
          <cell r="E301">
            <v>125</v>
          </cell>
          <cell r="F301">
            <v>944</v>
          </cell>
        </row>
        <row r="302">
          <cell r="A302" t="str">
            <v>AL162008</v>
          </cell>
          <cell r="B302">
            <v>2008</v>
          </cell>
          <cell r="C302" t="str">
            <v>SIXTEEN</v>
          </cell>
          <cell r="D302" t="str">
            <v>NA</v>
          </cell>
          <cell r="E302" t="str">
            <v>NA</v>
          </cell>
          <cell r="F302" t="str">
            <v>NA</v>
          </cell>
        </row>
        <row r="303">
          <cell r="A303" t="str">
            <v>AL012007</v>
          </cell>
          <cell r="B303">
            <v>2007</v>
          </cell>
          <cell r="C303" t="str">
            <v>ANDREA</v>
          </cell>
          <cell r="D303" t="str">
            <v>NA</v>
          </cell>
          <cell r="E303" t="str">
            <v>NA</v>
          </cell>
          <cell r="F303" t="str">
            <v>NA</v>
          </cell>
        </row>
        <row r="304">
          <cell r="A304" t="str">
            <v>AL022007</v>
          </cell>
          <cell r="B304">
            <v>2007</v>
          </cell>
          <cell r="C304" t="str">
            <v>BARRY</v>
          </cell>
          <cell r="D304" t="str">
            <v>NA</v>
          </cell>
          <cell r="E304" t="str">
            <v>NA</v>
          </cell>
          <cell r="F304" t="str">
            <v>NA</v>
          </cell>
        </row>
        <row r="305">
          <cell r="A305" t="str">
            <v>AL032007</v>
          </cell>
          <cell r="B305">
            <v>2007</v>
          </cell>
          <cell r="C305" t="str">
            <v>CHANTAL</v>
          </cell>
          <cell r="D305" t="str">
            <v>NA</v>
          </cell>
          <cell r="E305" t="str">
            <v>NA</v>
          </cell>
          <cell r="F305" t="str">
            <v>NA</v>
          </cell>
        </row>
        <row r="306">
          <cell r="A306" t="str">
            <v>AL042007</v>
          </cell>
          <cell r="B306">
            <v>2007</v>
          </cell>
          <cell r="C306" t="str">
            <v>DEAN</v>
          </cell>
          <cell r="D306">
            <v>5</v>
          </cell>
          <cell r="E306">
            <v>150</v>
          </cell>
          <cell r="F306">
            <v>905</v>
          </cell>
        </row>
        <row r="307">
          <cell r="A307" t="str">
            <v>AL052007</v>
          </cell>
          <cell r="B307">
            <v>2007</v>
          </cell>
          <cell r="C307" t="str">
            <v>ERIN</v>
          </cell>
          <cell r="D307" t="str">
            <v>NA</v>
          </cell>
          <cell r="E307" t="str">
            <v>NA</v>
          </cell>
          <cell r="F307" t="str">
            <v>NA</v>
          </cell>
        </row>
        <row r="308">
          <cell r="A308" t="str">
            <v>AL062007</v>
          </cell>
          <cell r="B308">
            <v>2007</v>
          </cell>
          <cell r="C308" t="str">
            <v>FELIX</v>
          </cell>
          <cell r="D308">
            <v>5</v>
          </cell>
          <cell r="E308">
            <v>150</v>
          </cell>
          <cell r="F308">
            <v>929</v>
          </cell>
        </row>
        <row r="309">
          <cell r="A309" t="str">
            <v>AL152007</v>
          </cell>
          <cell r="B309">
            <v>2007</v>
          </cell>
          <cell r="C309" t="str">
            <v>FIFTEEN</v>
          </cell>
          <cell r="D309" t="str">
            <v>NA</v>
          </cell>
          <cell r="E309" t="str">
            <v>NA</v>
          </cell>
          <cell r="F309" t="str">
            <v>NA</v>
          </cell>
        </row>
        <row r="310">
          <cell r="A310" t="str">
            <v>AL072007</v>
          </cell>
          <cell r="B310">
            <v>2007</v>
          </cell>
          <cell r="C310" t="str">
            <v>GABRIELLE</v>
          </cell>
          <cell r="D310" t="str">
            <v>NA</v>
          </cell>
          <cell r="E310" t="str">
            <v>NA</v>
          </cell>
          <cell r="F310" t="str">
            <v>NA</v>
          </cell>
        </row>
        <row r="311">
          <cell r="A311" t="str">
            <v>AL092007</v>
          </cell>
          <cell r="B311">
            <v>2007</v>
          </cell>
          <cell r="C311" t="str">
            <v>HUMBERTO</v>
          </cell>
          <cell r="D311">
            <v>1</v>
          </cell>
          <cell r="E311">
            <v>80</v>
          </cell>
          <cell r="F311">
            <v>985</v>
          </cell>
        </row>
        <row r="312">
          <cell r="A312" t="str">
            <v>AL082007</v>
          </cell>
          <cell r="B312">
            <v>2007</v>
          </cell>
          <cell r="C312" t="str">
            <v>INGRID</v>
          </cell>
          <cell r="D312" t="str">
            <v>NA</v>
          </cell>
          <cell r="E312" t="str">
            <v>NA</v>
          </cell>
          <cell r="F312" t="str">
            <v>NA</v>
          </cell>
        </row>
        <row r="313">
          <cell r="A313" t="str">
            <v>AL112007</v>
          </cell>
          <cell r="B313">
            <v>2007</v>
          </cell>
          <cell r="C313" t="str">
            <v>JERRY</v>
          </cell>
          <cell r="D313" t="str">
            <v>NA</v>
          </cell>
          <cell r="E313" t="str">
            <v>NA</v>
          </cell>
          <cell r="F313" t="str">
            <v>NA</v>
          </cell>
        </row>
        <row r="314">
          <cell r="A314" t="str">
            <v>AL122007</v>
          </cell>
          <cell r="B314">
            <v>2007</v>
          </cell>
          <cell r="C314" t="str">
            <v>KAREN</v>
          </cell>
          <cell r="D314">
            <v>1</v>
          </cell>
          <cell r="E314">
            <v>65</v>
          </cell>
          <cell r="F314">
            <v>988</v>
          </cell>
        </row>
        <row r="315">
          <cell r="A315" t="str">
            <v>AL132007</v>
          </cell>
          <cell r="B315">
            <v>2007</v>
          </cell>
          <cell r="C315" t="str">
            <v>LORENZO</v>
          </cell>
          <cell r="D315">
            <v>1</v>
          </cell>
          <cell r="E315">
            <v>70</v>
          </cell>
          <cell r="F315">
            <v>990</v>
          </cell>
        </row>
        <row r="316">
          <cell r="A316" t="str">
            <v>AL142007</v>
          </cell>
          <cell r="B316">
            <v>2007</v>
          </cell>
          <cell r="C316" t="str">
            <v>MELISSA</v>
          </cell>
          <cell r="D316" t="str">
            <v>NA</v>
          </cell>
          <cell r="E316" t="str">
            <v>NA</v>
          </cell>
          <cell r="F316" t="str">
            <v>NA</v>
          </cell>
        </row>
        <row r="317">
          <cell r="A317" t="str">
            <v>AL162007</v>
          </cell>
          <cell r="B317">
            <v>2007</v>
          </cell>
          <cell r="C317" t="str">
            <v>NOEL</v>
          </cell>
          <cell r="D317">
            <v>1</v>
          </cell>
          <cell r="E317">
            <v>70</v>
          </cell>
          <cell r="F317">
            <v>980</v>
          </cell>
        </row>
        <row r="318">
          <cell r="A318" t="str">
            <v>AL172007</v>
          </cell>
          <cell r="B318">
            <v>2007</v>
          </cell>
          <cell r="C318" t="str">
            <v>OLGA</v>
          </cell>
          <cell r="D318" t="str">
            <v>NA</v>
          </cell>
          <cell r="E318" t="str">
            <v>NA</v>
          </cell>
          <cell r="F318" t="str">
            <v>NA</v>
          </cell>
        </row>
        <row r="319">
          <cell r="A319" t="str">
            <v>AL102007</v>
          </cell>
          <cell r="B319">
            <v>2007</v>
          </cell>
          <cell r="C319" t="str">
            <v>TEN</v>
          </cell>
          <cell r="D319" t="str">
            <v>NA</v>
          </cell>
          <cell r="E319" t="str">
            <v>NA</v>
          </cell>
          <cell r="F319" t="str">
            <v>NA</v>
          </cell>
        </row>
        <row r="320">
          <cell r="A320" t="str">
            <v>AL012006</v>
          </cell>
          <cell r="B320">
            <v>2006</v>
          </cell>
          <cell r="C320" t="str">
            <v>ALBERTO</v>
          </cell>
          <cell r="D320" t="str">
            <v>NA</v>
          </cell>
          <cell r="E320" t="str">
            <v>NA</v>
          </cell>
          <cell r="F320" t="str">
            <v>NA</v>
          </cell>
        </row>
        <row r="321">
          <cell r="A321" t="str">
            <v>AL032006</v>
          </cell>
          <cell r="B321">
            <v>2006</v>
          </cell>
          <cell r="C321" t="str">
            <v>BERYL</v>
          </cell>
          <cell r="D321" t="str">
            <v>NA</v>
          </cell>
          <cell r="E321" t="str">
            <v>NA</v>
          </cell>
          <cell r="F321" t="str">
            <v>NA</v>
          </cell>
        </row>
        <row r="322">
          <cell r="A322" t="str">
            <v>AL042006</v>
          </cell>
          <cell r="B322">
            <v>2006</v>
          </cell>
          <cell r="C322" t="str">
            <v>CHRIS</v>
          </cell>
          <cell r="D322" t="str">
            <v>NA</v>
          </cell>
          <cell r="E322" t="str">
            <v>NA</v>
          </cell>
          <cell r="F322" t="str">
            <v>NA</v>
          </cell>
        </row>
        <row r="323">
          <cell r="A323" t="str">
            <v>AL052006</v>
          </cell>
          <cell r="B323">
            <v>2006</v>
          </cell>
          <cell r="C323" t="str">
            <v>DEBBY</v>
          </cell>
          <cell r="D323" t="str">
            <v>NA</v>
          </cell>
          <cell r="E323" t="str">
            <v>NA</v>
          </cell>
          <cell r="F323" t="str">
            <v>NA</v>
          </cell>
        </row>
        <row r="324">
          <cell r="A324" t="str">
            <v>AL062006</v>
          </cell>
          <cell r="B324">
            <v>2006</v>
          </cell>
          <cell r="C324" t="str">
            <v>ERNESTO</v>
          </cell>
          <cell r="D324">
            <v>1</v>
          </cell>
          <cell r="E324">
            <v>65</v>
          </cell>
          <cell r="F324">
            <v>992</v>
          </cell>
        </row>
        <row r="325">
          <cell r="A325" t="str">
            <v>AL072006</v>
          </cell>
          <cell r="B325">
            <v>2006</v>
          </cell>
          <cell r="C325" t="str">
            <v>FLORENCE</v>
          </cell>
          <cell r="D325">
            <v>1</v>
          </cell>
          <cell r="E325">
            <v>80</v>
          </cell>
          <cell r="F325">
            <v>974</v>
          </cell>
        </row>
        <row r="326">
          <cell r="A326" t="str">
            <v>AL082006</v>
          </cell>
          <cell r="B326">
            <v>2006</v>
          </cell>
          <cell r="C326" t="str">
            <v>GORDON</v>
          </cell>
          <cell r="D326">
            <v>3</v>
          </cell>
          <cell r="E326">
            <v>105</v>
          </cell>
          <cell r="F326">
            <v>955</v>
          </cell>
        </row>
        <row r="327">
          <cell r="A327" t="str">
            <v>AL092006</v>
          </cell>
          <cell r="B327">
            <v>2006</v>
          </cell>
          <cell r="C327" t="str">
            <v>HELENE</v>
          </cell>
          <cell r="D327">
            <v>3</v>
          </cell>
          <cell r="E327">
            <v>105</v>
          </cell>
          <cell r="F327">
            <v>955</v>
          </cell>
        </row>
        <row r="328">
          <cell r="A328" t="str">
            <v>AL102006</v>
          </cell>
          <cell r="B328">
            <v>2006</v>
          </cell>
          <cell r="C328" t="str">
            <v>ISAAC</v>
          </cell>
          <cell r="D328">
            <v>1</v>
          </cell>
          <cell r="E328">
            <v>75</v>
          </cell>
          <cell r="F328">
            <v>985</v>
          </cell>
        </row>
        <row r="329">
          <cell r="A329" t="str">
            <v>AL022006</v>
          </cell>
          <cell r="B329">
            <v>2006</v>
          </cell>
          <cell r="C329" t="str">
            <v>STORM 2</v>
          </cell>
          <cell r="D329" t="str">
            <v>NA</v>
          </cell>
          <cell r="E329" t="str">
            <v>NA</v>
          </cell>
          <cell r="F329" t="str">
            <v>NA</v>
          </cell>
        </row>
        <row r="330">
          <cell r="A330" t="str">
            <v>AL262005</v>
          </cell>
          <cell r="B330">
            <v>2005</v>
          </cell>
          <cell r="C330" t="str">
            <v>ALPHA</v>
          </cell>
          <cell r="D330" t="str">
            <v>NA</v>
          </cell>
          <cell r="E330" t="str">
            <v>NA</v>
          </cell>
          <cell r="F330" t="str">
            <v>NA</v>
          </cell>
        </row>
        <row r="331">
          <cell r="A331" t="str">
            <v>AL012005</v>
          </cell>
          <cell r="B331">
            <v>2005</v>
          </cell>
          <cell r="C331" t="str">
            <v>ARLENE</v>
          </cell>
          <cell r="D331" t="str">
            <v>NA</v>
          </cell>
          <cell r="E331" t="str">
            <v>NA</v>
          </cell>
          <cell r="F331" t="str">
            <v>NA</v>
          </cell>
        </row>
        <row r="332">
          <cell r="A332" t="str">
            <v>AL272005</v>
          </cell>
          <cell r="B332">
            <v>2005</v>
          </cell>
          <cell r="C332" t="str">
            <v>BETA</v>
          </cell>
          <cell r="D332">
            <v>3</v>
          </cell>
          <cell r="E332">
            <v>100</v>
          </cell>
          <cell r="F332">
            <v>962</v>
          </cell>
        </row>
        <row r="333">
          <cell r="A333" t="str">
            <v>AL022005</v>
          </cell>
          <cell r="B333">
            <v>2005</v>
          </cell>
          <cell r="C333" t="str">
            <v>BRET</v>
          </cell>
          <cell r="D333" t="str">
            <v>NA</v>
          </cell>
          <cell r="E333" t="str">
            <v>NA</v>
          </cell>
          <cell r="F333" t="str">
            <v>NA</v>
          </cell>
        </row>
        <row r="334">
          <cell r="A334" t="str">
            <v>AL032005</v>
          </cell>
          <cell r="B334">
            <v>2005</v>
          </cell>
          <cell r="C334" t="str">
            <v>CINDY</v>
          </cell>
          <cell r="D334">
            <v>1</v>
          </cell>
          <cell r="E334">
            <v>65</v>
          </cell>
          <cell r="F334">
            <v>991</v>
          </cell>
        </row>
        <row r="335">
          <cell r="A335" t="str">
            <v>AL292005</v>
          </cell>
          <cell r="B335">
            <v>2005</v>
          </cell>
          <cell r="C335" t="str">
            <v>DELTA</v>
          </cell>
          <cell r="D335" t="str">
            <v>NA</v>
          </cell>
          <cell r="E335" t="str">
            <v>NA</v>
          </cell>
          <cell r="F335" t="str">
            <v>NA</v>
          </cell>
        </row>
        <row r="336">
          <cell r="A336" t="str">
            <v>AL042005</v>
          </cell>
          <cell r="B336">
            <v>2005</v>
          </cell>
          <cell r="C336" t="str">
            <v>DENNIS</v>
          </cell>
          <cell r="D336">
            <v>4</v>
          </cell>
          <cell r="E336">
            <v>130</v>
          </cell>
          <cell r="F336">
            <v>930</v>
          </cell>
        </row>
        <row r="337">
          <cell r="A337" t="str">
            <v>AL052005</v>
          </cell>
          <cell r="B337">
            <v>2005</v>
          </cell>
          <cell r="C337" t="str">
            <v>EMILY</v>
          </cell>
          <cell r="D337">
            <v>5</v>
          </cell>
          <cell r="E337">
            <v>140</v>
          </cell>
          <cell r="F337">
            <v>929</v>
          </cell>
        </row>
        <row r="338">
          <cell r="A338" t="str">
            <v>AL302005</v>
          </cell>
          <cell r="B338">
            <v>2005</v>
          </cell>
          <cell r="C338" t="str">
            <v>EPSILON</v>
          </cell>
          <cell r="D338">
            <v>1</v>
          </cell>
          <cell r="E338">
            <v>75</v>
          </cell>
          <cell r="F338">
            <v>981</v>
          </cell>
        </row>
        <row r="339">
          <cell r="A339" t="str">
            <v>AL062005</v>
          </cell>
          <cell r="B339">
            <v>2005</v>
          </cell>
          <cell r="C339" t="str">
            <v>FRANKLIN</v>
          </cell>
          <cell r="D339" t="str">
            <v>NA</v>
          </cell>
          <cell r="E339" t="str">
            <v>NA</v>
          </cell>
          <cell r="F339" t="str">
            <v>NA</v>
          </cell>
        </row>
        <row r="340">
          <cell r="A340" t="str">
            <v>AL282005</v>
          </cell>
          <cell r="B340">
            <v>2005</v>
          </cell>
          <cell r="C340" t="str">
            <v>GAMMA</v>
          </cell>
          <cell r="D340" t="str">
            <v>NA</v>
          </cell>
          <cell r="E340" t="str">
            <v>NA</v>
          </cell>
          <cell r="F340" t="str">
            <v>NA</v>
          </cell>
        </row>
        <row r="341">
          <cell r="A341" t="str">
            <v>AL072005</v>
          </cell>
          <cell r="B341">
            <v>2005</v>
          </cell>
          <cell r="C341" t="str">
            <v>GERT</v>
          </cell>
          <cell r="D341" t="str">
            <v>NA</v>
          </cell>
          <cell r="E341" t="str">
            <v>NA</v>
          </cell>
          <cell r="F341" t="str">
            <v>NA</v>
          </cell>
        </row>
        <row r="342">
          <cell r="A342" t="str">
            <v>AL082005</v>
          </cell>
          <cell r="B342">
            <v>2005</v>
          </cell>
          <cell r="C342" t="str">
            <v>HARVEY</v>
          </cell>
          <cell r="D342" t="str">
            <v>NA</v>
          </cell>
          <cell r="E342" t="str">
            <v>NA</v>
          </cell>
          <cell r="F342" t="str">
            <v>NA</v>
          </cell>
        </row>
        <row r="343">
          <cell r="A343" t="str">
            <v>AL092005</v>
          </cell>
          <cell r="B343">
            <v>2005</v>
          </cell>
          <cell r="C343" t="str">
            <v>IRENE</v>
          </cell>
          <cell r="D343">
            <v>2</v>
          </cell>
          <cell r="E343">
            <v>90</v>
          </cell>
          <cell r="F343">
            <v>970</v>
          </cell>
        </row>
        <row r="344">
          <cell r="A344" t="str">
            <v>AL112005</v>
          </cell>
          <cell r="B344">
            <v>2005</v>
          </cell>
          <cell r="C344" t="str">
            <v>JOSE</v>
          </cell>
          <cell r="D344" t="str">
            <v>NA</v>
          </cell>
          <cell r="E344" t="str">
            <v>NA</v>
          </cell>
          <cell r="F344" t="str">
            <v>NA</v>
          </cell>
        </row>
        <row r="345">
          <cell r="A345" t="str">
            <v>AL122005</v>
          </cell>
          <cell r="B345">
            <v>2005</v>
          </cell>
          <cell r="C345" t="str">
            <v>KATRINA</v>
          </cell>
          <cell r="D345">
            <v>5</v>
          </cell>
          <cell r="E345">
            <v>150</v>
          </cell>
          <cell r="F345">
            <v>902</v>
          </cell>
        </row>
        <row r="346">
          <cell r="A346" t="str">
            <v>AL132005</v>
          </cell>
          <cell r="B346">
            <v>2005</v>
          </cell>
          <cell r="C346" t="str">
            <v>LEE</v>
          </cell>
          <cell r="D346" t="str">
            <v>NA</v>
          </cell>
          <cell r="E346" t="str">
            <v>NA</v>
          </cell>
          <cell r="F346" t="str">
            <v>NA</v>
          </cell>
        </row>
        <row r="347">
          <cell r="A347" t="str">
            <v>AL142005</v>
          </cell>
          <cell r="B347">
            <v>2005</v>
          </cell>
          <cell r="C347" t="str">
            <v>MARIA</v>
          </cell>
          <cell r="D347">
            <v>3</v>
          </cell>
          <cell r="E347">
            <v>100</v>
          </cell>
          <cell r="F347">
            <v>962</v>
          </cell>
        </row>
        <row r="348">
          <cell r="A348" t="str">
            <v>AL152005</v>
          </cell>
          <cell r="B348">
            <v>2005</v>
          </cell>
          <cell r="C348" t="str">
            <v>NATE</v>
          </cell>
          <cell r="D348">
            <v>1</v>
          </cell>
          <cell r="E348">
            <v>80</v>
          </cell>
          <cell r="F348">
            <v>979</v>
          </cell>
        </row>
        <row r="349">
          <cell r="A349" t="str">
            <v>AL192005</v>
          </cell>
          <cell r="B349">
            <v>2005</v>
          </cell>
          <cell r="C349" t="str">
            <v>NINETEEN</v>
          </cell>
          <cell r="D349" t="str">
            <v>NA</v>
          </cell>
          <cell r="E349" t="str">
            <v>NA</v>
          </cell>
          <cell r="F349" t="str">
            <v>NA</v>
          </cell>
        </row>
        <row r="350">
          <cell r="A350" t="str">
            <v>AL162005</v>
          </cell>
          <cell r="B350">
            <v>2005</v>
          </cell>
          <cell r="C350" t="str">
            <v>OPHELIA</v>
          </cell>
          <cell r="D350">
            <v>1</v>
          </cell>
          <cell r="E350">
            <v>75</v>
          </cell>
          <cell r="F350">
            <v>976</v>
          </cell>
        </row>
        <row r="351">
          <cell r="A351" t="str">
            <v>AL172005</v>
          </cell>
          <cell r="B351">
            <v>2005</v>
          </cell>
          <cell r="C351" t="str">
            <v>PHILIPPE</v>
          </cell>
          <cell r="D351">
            <v>1</v>
          </cell>
          <cell r="E351">
            <v>70</v>
          </cell>
          <cell r="F351">
            <v>985</v>
          </cell>
        </row>
        <row r="352">
          <cell r="A352" t="str">
            <v>AL182005</v>
          </cell>
          <cell r="B352">
            <v>2005</v>
          </cell>
          <cell r="C352" t="str">
            <v>RITA</v>
          </cell>
          <cell r="D352">
            <v>5</v>
          </cell>
          <cell r="E352">
            <v>155</v>
          </cell>
          <cell r="F352">
            <v>895</v>
          </cell>
        </row>
        <row r="353">
          <cell r="A353" t="str">
            <v>AL202005</v>
          </cell>
          <cell r="B353">
            <v>2005</v>
          </cell>
          <cell r="C353" t="str">
            <v>STAN</v>
          </cell>
          <cell r="D353">
            <v>1</v>
          </cell>
          <cell r="E353">
            <v>70</v>
          </cell>
          <cell r="F353">
            <v>977</v>
          </cell>
        </row>
        <row r="354">
          <cell r="A354" t="str">
            <v>AL212005</v>
          </cell>
          <cell r="B354">
            <v>2005</v>
          </cell>
          <cell r="C354" t="str">
            <v>STORM 21</v>
          </cell>
          <cell r="D354" t="str">
            <v>NA</v>
          </cell>
          <cell r="E354" t="str">
            <v>NA</v>
          </cell>
          <cell r="F354" t="str">
            <v>NA</v>
          </cell>
        </row>
        <row r="355">
          <cell r="A355" t="str">
            <v>AL222005</v>
          </cell>
          <cell r="B355">
            <v>2005</v>
          </cell>
          <cell r="C355" t="str">
            <v>TAMMY</v>
          </cell>
          <cell r="D355" t="str">
            <v>NA</v>
          </cell>
          <cell r="E355" t="str">
            <v>NA</v>
          </cell>
          <cell r="F355" t="str">
            <v>NA</v>
          </cell>
        </row>
        <row r="356">
          <cell r="A356" t="str">
            <v>AL102005</v>
          </cell>
          <cell r="B356">
            <v>2005</v>
          </cell>
          <cell r="C356" t="str">
            <v>TEN</v>
          </cell>
          <cell r="D356" t="str">
            <v>NA</v>
          </cell>
          <cell r="E356" t="str">
            <v>NA</v>
          </cell>
          <cell r="F356" t="str">
            <v>NA</v>
          </cell>
        </row>
        <row r="357">
          <cell r="A357" t="str">
            <v>AL232005</v>
          </cell>
          <cell r="B357">
            <v>2005</v>
          </cell>
          <cell r="C357" t="str">
            <v>TWENTY-TWO</v>
          </cell>
          <cell r="D357" t="str">
            <v>NA</v>
          </cell>
          <cell r="E357" t="str">
            <v>NA</v>
          </cell>
          <cell r="F357" t="str">
            <v>NA</v>
          </cell>
        </row>
        <row r="358">
          <cell r="A358" t="str">
            <v>AL242005</v>
          </cell>
          <cell r="B358">
            <v>2005</v>
          </cell>
          <cell r="C358" t="str">
            <v>VINCE</v>
          </cell>
          <cell r="D358">
            <v>1</v>
          </cell>
          <cell r="E358">
            <v>65</v>
          </cell>
          <cell r="F358">
            <v>988</v>
          </cell>
        </row>
        <row r="359">
          <cell r="A359" t="str">
            <v>AL252005</v>
          </cell>
          <cell r="B359">
            <v>2005</v>
          </cell>
          <cell r="C359" t="str">
            <v>WILMA</v>
          </cell>
          <cell r="D359">
            <v>5</v>
          </cell>
          <cell r="E359">
            <v>160</v>
          </cell>
          <cell r="F359">
            <v>882</v>
          </cell>
        </row>
        <row r="360">
          <cell r="A360" t="str">
            <v>AL312005</v>
          </cell>
          <cell r="B360">
            <v>2005</v>
          </cell>
          <cell r="C360" t="str">
            <v>ZETA</v>
          </cell>
          <cell r="D360" t="str">
            <v>NA</v>
          </cell>
          <cell r="E360" t="str">
            <v>NA</v>
          </cell>
          <cell r="F360" t="str">
            <v>NA</v>
          </cell>
        </row>
        <row r="361">
          <cell r="A361" t="str">
            <v>AL012004</v>
          </cell>
          <cell r="B361">
            <v>2004</v>
          </cell>
          <cell r="C361" t="str">
            <v>ALEX</v>
          </cell>
          <cell r="D361">
            <v>3</v>
          </cell>
          <cell r="E361">
            <v>105</v>
          </cell>
          <cell r="F361">
            <v>957</v>
          </cell>
        </row>
        <row r="362">
          <cell r="A362" t="str">
            <v>AL022004</v>
          </cell>
          <cell r="B362">
            <v>2004</v>
          </cell>
          <cell r="C362" t="str">
            <v>BONNIE</v>
          </cell>
          <cell r="D362" t="str">
            <v>NA</v>
          </cell>
          <cell r="E362" t="str">
            <v>NA</v>
          </cell>
          <cell r="F362" t="str">
            <v>NA</v>
          </cell>
        </row>
        <row r="363">
          <cell r="A363" t="str">
            <v>AL032004</v>
          </cell>
          <cell r="B363">
            <v>2004</v>
          </cell>
          <cell r="C363" t="str">
            <v>CHARLEY</v>
          </cell>
          <cell r="D363">
            <v>4</v>
          </cell>
          <cell r="E363">
            <v>130</v>
          </cell>
          <cell r="F363">
            <v>941</v>
          </cell>
        </row>
        <row r="364">
          <cell r="A364" t="str">
            <v>AL042004</v>
          </cell>
          <cell r="B364">
            <v>2004</v>
          </cell>
          <cell r="C364" t="str">
            <v>DANIELLE</v>
          </cell>
          <cell r="D364">
            <v>2</v>
          </cell>
          <cell r="E364">
            <v>95</v>
          </cell>
          <cell r="F364">
            <v>964</v>
          </cell>
        </row>
        <row r="365">
          <cell r="A365" t="str">
            <v>AL052004</v>
          </cell>
          <cell r="B365">
            <v>2004</v>
          </cell>
          <cell r="C365" t="str">
            <v>EARL</v>
          </cell>
          <cell r="D365" t="str">
            <v>NA</v>
          </cell>
          <cell r="E365" t="str">
            <v>NA</v>
          </cell>
          <cell r="F365" t="str">
            <v>NA</v>
          </cell>
        </row>
        <row r="366">
          <cell r="A366" t="str">
            <v>AL062004</v>
          </cell>
          <cell r="B366">
            <v>2004</v>
          </cell>
          <cell r="C366" t="str">
            <v>FRANCES</v>
          </cell>
          <cell r="D366">
            <v>4</v>
          </cell>
          <cell r="E366">
            <v>125</v>
          </cell>
          <cell r="F366">
            <v>935</v>
          </cell>
        </row>
        <row r="367">
          <cell r="A367" t="str">
            <v>AL072004</v>
          </cell>
          <cell r="B367">
            <v>2004</v>
          </cell>
          <cell r="C367" t="str">
            <v>GASTON</v>
          </cell>
          <cell r="D367">
            <v>1</v>
          </cell>
          <cell r="E367">
            <v>65</v>
          </cell>
          <cell r="F367">
            <v>985</v>
          </cell>
        </row>
        <row r="368">
          <cell r="A368" t="str">
            <v>AL082004</v>
          </cell>
          <cell r="B368">
            <v>2004</v>
          </cell>
          <cell r="C368" t="str">
            <v>HERMINE</v>
          </cell>
          <cell r="D368" t="str">
            <v>NA</v>
          </cell>
          <cell r="E368" t="str">
            <v>NA</v>
          </cell>
          <cell r="F368" t="str">
            <v>NA</v>
          </cell>
        </row>
        <row r="369">
          <cell r="A369" t="str">
            <v>AL092004</v>
          </cell>
          <cell r="B369">
            <v>2004</v>
          </cell>
          <cell r="C369" t="str">
            <v>IVAN</v>
          </cell>
          <cell r="D369">
            <v>5</v>
          </cell>
          <cell r="E369">
            <v>145</v>
          </cell>
          <cell r="F369">
            <v>910</v>
          </cell>
        </row>
        <row r="370">
          <cell r="A370" t="str">
            <v>AL112004</v>
          </cell>
          <cell r="B370">
            <v>2004</v>
          </cell>
          <cell r="C370" t="str">
            <v>JEANNE</v>
          </cell>
          <cell r="D370">
            <v>3</v>
          </cell>
          <cell r="E370">
            <v>105</v>
          </cell>
          <cell r="F370">
            <v>950</v>
          </cell>
        </row>
        <row r="371">
          <cell r="A371" t="str">
            <v>AL122004</v>
          </cell>
          <cell r="B371">
            <v>2004</v>
          </cell>
          <cell r="C371" t="str">
            <v>KARL</v>
          </cell>
          <cell r="D371">
            <v>4</v>
          </cell>
          <cell r="E371">
            <v>125</v>
          </cell>
          <cell r="F371">
            <v>938</v>
          </cell>
        </row>
        <row r="372">
          <cell r="A372" t="str">
            <v>AL132004</v>
          </cell>
          <cell r="B372">
            <v>2004</v>
          </cell>
          <cell r="C372" t="str">
            <v>LISA</v>
          </cell>
          <cell r="D372">
            <v>1</v>
          </cell>
          <cell r="E372">
            <v>65</v>
          </cell>
          <cell r="F372">
            <v>987</v>
          </cell>
        </row>
        <row r="373">
          <cell r="A373" t="str">
            <v>AL142004</v>
          </cell>
          <cell r="B373">
            <v>2004</v>
          </cell>
          <cell r="C373" t="str">
            <v>MATTHEW</v>
          </cell>
          <cell r="D373" t="str">
            <v>NA</v>
          </cell>
          <cell r="E373" t="str">
            <v>NA</v>
          </cell>
          <cell r="F373" t="str">
            <v>NA</v>
          </cell>
        </row>
        <row r="374">
          <cell r="A374" t="str">
            <v>AL152004</v>
          </cell>
          <cell r="B374">
            <v>2004</v>
          </cell>
          <cell r="C374" t="str">
            <v>NICOLE</v>
          </cell>
          <cell r="D374" t="str">
            <v>NA</v>
          </cell>
          <cell r="E374" t="str">
            <v>NA</v>
          </cell>
          <cell r="F374" t="str">
            <v>NA</v>
          </cell>
        </row>
        <row r="375">
          <cell r="A375" t="str">
            <v>AL162004</v>
          </cell>
          <cell r="B375">
            <v>2004</v>
          </cell>
          <cell r="C375" t="str">
            <v>OTTO</v>
          </cell>
          <cell r="D375" t="str">
            <v>NA</v>
          </cell>
          <cell r="E375" t="str">
            <v>NA</v>
          </cell>
          <cell r="F375" t="str">
            <v>NA</v>
          </cell>
        </row>
        <row r="376">
          <cell r="A376" t="str">
            <v>AL102004</v>
          </cell>
          <cell r="B376">
            <v>2004</v>
          </cell>
          <cell r="C376" t="str">
            <v>STORM 10</v>
          </cell>
          <cell r="D376" t="str">
            <v>NA</v>
          </cell>
          <cell r="E376" t="str">
            <v>NA</v>
          </cell>
          <cell r="F376" t="str">
            <v>NA</v>
          </cell>
        </row>
        <row r="377">
          <cell r="A377" t="str">
            <v>AL012003</v>
          </cell>
          <cell r="B377">
            <v>2003</v>
          </cell>
          <cell r="C377" t="str">
            <v>ANA</v>
          </cell>
          <cell r="D377" t="str">
            <v>NA</v>
          </cell>
          <cell r="E377" t="str">
            <v>NA</v>
          </cell>
          <cell r="F377" t="str">
            <v>NA</v>
          </cell>
        </row>
        <row r="378">
          <cell r="A378" t="str">
            <v>AL032003</v>
          </cell>
          <cell r="B378">
            <v>2003</v>
          </cell>
          <cell r="C378" t="str">
            <v>BILL</v>
          </cell>
          <cell r="D378" t="str">
            <v>NA</v>
          </cell>
          <cell r="E378" t="str">
            <v>NA</v>
          </cell>
          <cell r="F378" t="str">
            <v>NA</v>
          </cell>
        </row>
        <row r="379">
          <cell r="A379" t="str">
            <v>AL042003</v>
          </cell>
          <cell r="B379">
            <v>2003</v>
          </cell>
          <cell r="C379" t="str">
            <v>CLAUDETTE</v>
          </cell>
          <cell r="D379">
            <v>1</v>
          </cell>
          <cell r="E379">
            <v>80</v>
          </cell>
          <cell r="F379">
            <v>979</v>
          </cell>
        </row>
        <row r="380">
          <cell r="A380" t="str">
            <v>AL052003</v>
          </cell>
          <cell r="B380">
            <v>2003</v>
          </cell>
          <cell r="C380" t="str">
            <v>DANNY</v>
          </cell>
          <cell r="D380">
            <v>1</v>
          </cell>
          <cell r="E380">
            <v>65</v>
          </cell>
          <cell r="F380">
            <v>1000</v>
          </cell>
        </row>
        <row r="381">
          <cell r="A381" t="str">
            <v>AL082003</v>
          </cell>
          <cell r="B381">
            <v>2003</v>
          </cell>
          <cell r="C381" t="str">
            <v>ERIKA</v>
          </cell>
          <cell r="D381">
            <v>1</v>
          </cell>
          <cell r="E381">
            <v>65</v>
          </cell>
          <cell r="F381">
            <v>986</v>
          </cell>
        </row>
        <row r="382">
          <cell r="A382" t="str">
            <v>AL102003</v>
          </cell>
          <cell r="B382">
            <v>2003</v>
          </cell>
          <cell r="C382" t="str">
            <v>FABIAN</v>
          </cell>
          <cell r="D382">
            <v>4</v>
          </cell>
          <cell r="E382">
            <v>125</v>
          </cell>
          <cell r="F382">
            <v>939</v>
          </cell>
        </row>
        <row r="383">
          <cell r="A383" t="str">
            <v>AL112003</v>
          </cell>
          <cell r="B383">
            <v>2003</v>
          </cell>
          <cell r="C383" t="str">
            <v>GRACE</v>
          </cell>
          <cell r="D383" t="str">
            <v>NA</v>
          </cell>
          <cell r="E383" t="str">
            <v>NA</v>
          </cell>
          <cell r="F383" t="str">
            <v>NA</v>
          </cell>
        </row>
        <row r="384">
          <cell r="A384" t="str">
            <v>AL122003</v>
          </cell>
          <cell r="B384">
            <v>2003</v>
          </cell>
          <cell r="C384" t="str">
            <v>HENRI</v>
          </cell>
          <cell r="D384" t="str">
            <v>NA</v>
          </cell>
          <cell r="E384" t="str">
            <v>NA</v>
          </cell>
          <cell r="F384" t="str">
            <v>NA</v>
          </cell>
        </row>
        <row r="385">
          <cell r="A385" t="str">
            <v>AL132003</v>
          </cell>
          <cell r="B385">
            <v>2003</v>
          </cell>
          <cell r="C385" t="str">
            <v>ISABEL</v>
          </cell>
          <cell r="D385">
            <v>5</v>
          </cell>
          <cell r="E385">
            <v>145</v>
          </cell>
          <cell r="F385">
            <v>915</v>
          </cell>
        </row>
        <row r="386">
          <cell r="A386" t="str">
            <v>AL152003</v>
          </cell>
          <cell r="B386">
            <v>2003</v>
          </cell>
          <cell r="C386" t="str">
            <v>JUAN</v>
          </cell>
          <cell r="D386">
            <v>2</v>
          </cell>
          <cell r="E386">
            <v>90</v>
          </cell>
          <cell r="F386">
            <v>969</v>
          </cell>
        </row>
        <row r="387">
          <cell r="A387" t="str">
            <v>AL162003</v>
          </cell>
          <cell r="B387">
            <v>2003</v>
          </cell>
          <cell r="C387" t="str">
            <v>KATE</v>
          </cell>
          <cell r="D387">
            <v>3</v>
          </cell>
          <cell r="E387">
            <v>110</v>
          </cell>
          <cell r="F387">
            <v>952</v>
          </cell>
        </row>
        <row r="388">
          <cell r="A388" t="str">
            <v>AL172003</v>
          </cell>
          <cell r="B388">
            <v>2003</v>
          </cell>
          <cell r="C388" t="str">
            <v>LARRY</v>
          </cell>
          <cell r="D388" t="str">
            <v>NA</v>
          </cell>
          <cell r="E388" t="str">
            <v>NA</v>
          </cell>
          <cell r="F388" t="str">
            <v>NA</v>
          </cell>
        </row>
        <row r="389">
          <cell r="A389" t="str">
            <v>AL182003</v>
          </cell>
          <cell r="B389">
            <v>2003</v>
          </cell>
          <cell r="C389" t="str">
            <v>MINDY</v>
          </cell>
          <cell r="D389" t="str">
            <v>NA</v>
          </cell>
          <cell r="E389" t="str">
            <v>NA</v>
          </cell>
          <cell r="F389" t="str">
            <v>NA</v>
          </cell>
        </row>
        <row r="390">
          <cell r="A390" t="str">
            <v>AL192003</v>
          </cell>
          <cell r="B390">
            <v>2003</v>
          </cell>
          <cell r="C390" t="str">
            <v>NICHOLAS</v>
          </cell>
          <cell r="D390" t="str">
            <v>NA</v>
          </cell>
          <cell r="E390" t="str">
            <v>NA</v>
          </cell>
          <cell r="F390" t="str">
            <v>NA</v>
          </cell>
        </row>
        <row r="391">
          <cell r="A391" t="str">
            <v>AL202003</v>
          </cell>
          <cell r="B391">
            <v>2003</v>
          </cell>
          <cell r="C391" t="str">
            <v>ODETTE</v>
          </cell>
          <cell r="D391" t="str">
            <v>NA</v>
          </cell>
          <cell r="E391" t="str">
            <v>NA</v>
          </cell>
          <cell r="F391" t="str">
            <v>NA</v>
          </cell>
        </row>
        <row r="392">
          <cell r="A392" t="str">
            <v>AL212003</v>
          </cell>
          <cell r="B392">
            <v>2003</v>
          </cell>
          <cell r="C392" t="str">
            <v>PETER</v>
          </cell>
          <cell r="D392" t="str">
            <v>NA</v>
          </cell>
          <cell r="E392" t="str">
            <v>NA</v>
          </cell>
          <cell r="F392" t="str">
            <v>NA</v>
          </cell>
        </row>
        <row r="393">
          <cell r="A393" t="str">
            <v>AL142003</v>
          </cell>
          <cell r="B393">
            <v>2003</v>
          </cell>
          <cell r="C393" t="str">
            <v>STORM 14</v>
          </cell>
          <cell r="D393" t="str">
            <v>NA</v>
          </cell>
          <cell r="E393" t="str">
            <v>NA</v>
          </cell>
          <cell r="F393" t="str">
            <v>NA</v>
          </cell>
        </row>
        <row r="394">
          <cell r="A394" t="str">
            <v>AL022003</v>
          </cell>
          <cell r="B394">
            <v>2003</v>
          </cell>
          <cell r="C394" t="str">
            <v>STORM 2</v>
          </cell>
          <cell r="D394" t="str">
            <v>NA</v>
          </cell>
          <cell r="E394" t="str">
            <v>NA</v>
          </cell>
          <cell r="F394" t="str">
            <v>NA</v>
          </cell>
        </row>
        <row r="395">
          <cell r="A395" t="str">
            <v>AL062003</v>
          </cell>
          <cell r="B395">
            <v>2003</v>
          </cell>
          <cell r="C395" t="str">
            <v>STORM 6</v>
          </cell>
          <cell r="D395" t="str">
            <v>NA</v>
          </cell>
          <cell r="E395" t="str">
            <v>NA</v>
          </cell>
          <cell r="F395" t="str">
            <v>NA</v>
          </cell>
        </row>
        <row r="396">
          <cell r="A396" t="str">
            <v>AL072003</v>
          </cell>
          <cell r="B396">
            <v>2003</v>
          </cell>
          <cell r="C396" t="str">
            <v>STORM 7</v>
          </cell>
          <cell r="D396" t="str">
            <v>NA</v>
          </cell>
          <cell r="E396" t="str">
            <v>NA</v>
          </cell>
          <cell r="F396" t="str">
            <v>NA</v>
          </cell>
        </row>
        <row r="397">
          <cell r="A397" t="str">
            <v>AL092003</v>
          </cell>
          <cell r="B397">
            <v>2003</v>
          </cell>
          <cell r="C397" t="str">
            <v>STORM 9</v>
          </cell>
          <cell r="D397" t="str">
            <v>NA</v>
          </cell>
          <cell r="E397" t="str">
            <v>NA</v>
          </cell>
          <cell r="F397" t="str">
            <v>NA</v>
          </cell>
        </row>
        <row r="398">
          <cell r="A398" t="str">
            <v>AL012002</v>
          </cell>
          <cell r="B398">
            <v>2002</v>
          </cell>
          <cell r="C398" t="str">
            <v>ARTHUR</v>
          </cell>
          <cell r="D398" t="str">
            <v>NA</v>
          </cell>
          <cell r="E398" t="str">
            <v>NA</v>
          </cell>
          <cell r="F398" t="str">
            <v>NA</v>
          </cell>
        </row>
        <row r="399">
          <cell r="A399" t="str">
            <v>AL022002</v>
          </cell>
          <cell r="B399">
            <v>2002</v>
          </cell>
          <cell r="C399" t="str">
            <v>BERTHA</v>
          </cell>
          <cell r="D399" t="str">
            <v>NA</v>
          </cell>
          <cell r="E399" t="str">
            <v>NA</v>
          </cell>
          <cell r="F399" t="str">
            <v>NA</v>
          </cell>
        </row>
        <row r="400">
          <cell r="A400" t="str">
            <v>AL032002</v>
          </cell>
          <cell r="B400">
            <v>2002</v>
          </cell>
          <cell r="C400" t="str">
            <v>CRISTOBAL</v>
          </cell>
          <cell r="D400" t="str">
            <v>NA</v>
          </cell>
          <cell r="E400" t="str">
            <v>NA</v>
          </cell>
          <cell r="F400" t="str">
            <v>NA</v>
          </cell>
        </row>
        <row r="401">
          <cell r="A401" t="str">
            <v>AL042002</v>
          </cell>
          <cell r="B401">
            <v>2002</v>
          </cell>
          <cell r="C401" t="str">
            <v>DOLLY</v>
          </cell>
          <cell r="D401" t="str">
            <v>NA</v>
          </cell>
          <cell r="E401" t="str">
            <v>NA</v>
          </cell>
          <cell r="F401" t="str">
            <v>NA</v>
          </cell>
        </row>
        <row r="402">
          <cell r="A402" t="str">
            <v>AL052002</v>
          </cell>
          <cell r="B402">
            <v>2002</v>
          </cell>
          <cell r="C402" t="str">
            <v>EDOUARD</v>
          </cell>
          <cell r="D402" t="str">
            <v>NA</v>
          </cell>
          <cell r="E402" t="str">
            <v>NA</v>
          </cell>
          <cell r="F402" t="str">
            <v>NA</v>
          </cell>
        </row>
        <row r="403">
          <cell r="A403" t="str">
            <v>AL062002</v>
          </cell>
          <cell r="B403">
            <v>2002</v>
          </cell>
          <cell r="C403" t="str">
            <v>FAY</v>
          </cell>
          <cell r="D403" t="str">
            <v>NA</v>
          </cell>
          <cell r="E403" t="str">
            <v>NA</v>
          </cell>
          <cell r="F403" t="str">
            <v>NA</v>
          </cell>
        </row>
        <row r="404">
          <cell r="A404" t="str">
            <v>AL082002</v>
          </cell>
          <cell r="B404">
            <v>2002</v>
          </cell>
          <cell r="C404" t="str">
            <v>GUSTAV</v>
          </cell>
          <cell r="D404">
            <v>2</v>
          </cell>
          <cell r="E404">
            <v>85</v>
          </cell>
          <cell r="F404">
            <v>960</v>
          </cell>
        </row>
        <row r="405">
          <cell r="A405" t="str">
            <v>AL092002</v>
          </cell>
          <cell r="B405">
            <v>2002</v>
          </cell>
          <cell r="C405" t="str">
            <v>HANNA</v>
          </cell>
          <cell r="D405" t="str">
            <v>NA</v>
          </cell>
          <cell r="E405" t="str">
            <v>NA</v>
          </cell>
          <cell r="F405" t="str">
            <v>NA</v>
          </cell>
        </row>
        <row r="406">
          <cell r="A406" t="str">
            <v>AL102002</v>
          </cell>
          <cell r="B406">
            <v>2002</v>
          </cell>
          <cell r="C406" t="str">
            <v>ISIDORE</v>
          </cell>
          <cell r="D406">
            <v>3</v>
          </cell>
          <cell r="E406">
            <v>110</v>
          </cell>
          <cell r="F406">
            <v>934</v>
          </cell>
        </row>
        <row r="407">
          <cell r="A407" t="str">
            <v>AL112002</v>
          </cell>
          <cell r="B407">
            <v>2002</v>
          </cell>
          <cell r="C407" t="str">
            <v>JOSEPHINE</v>
          </cell>
          <cell r="D407" t="str">
            <v>NA</v>
          </cell>
          <cell r="E407" t="str">
            <v>NA</v>
          </cell>
          <cell r="F407" t="str">
            <v>NA</v>
          </cell>
        </row>
        <row r="408">
          <cell r="A408" t="str">
            <v>AL122002</v>
          </cell>
          <cell r="B408">
            <v>2002</v>
          </cell>
          <cell r="C408" t="str">
            <v>KYLE</v>
          </cell>
          <cell r="D408">
            <v>1</v>
          </cell>
          <cell r="E408">
            <v>75</v>
          </cell>
          <cell r="F408">
            <v>980</v>
          </cell>
        </row>
        <row r="409">
          <cell r="A409" t="str">
            <v>AL132002</v>
          </cell>
          <cell r="B409">
            <v>2002</v>
          </cell>
          <cell r="C409" t="str">
            <v>LILI</v>
          </cell>
          <cell r="D409">
            <v>4</v>
          </cell>
          <cell r="E409">
            <v>125</v>
          </cell>
          <cell r="F409">
            <v>938</v>
          </cell>
        </row>
        <row r="410">
          <cell r="A410" t="str">
            <v>AL142002</v>
          </cell>
          <cell r="B410">
            <v>2002</v>
          </cell>
          <cell r="C410" t="str">
            <v>STORM 14</v>
          </cell>
          <cell r="D410" t="str">
            <v>NA</v>
          </cell>
          <cell r="E410" t="str">
            <v>NA</v>
          </cell>
          <cell r="F410" t="str">
            <v>NA</v>
          </cell>
        </row>
        <row r="411">
          <cell r="A411" t="str">
            <v>AL072002</v>
          </cell>
          <cell r="B411">
            <v>2002</v>
          </cell>
          <cell r="C411" t="str">
            <v>STORM 7</v>
          </cell>
          <cell r="D411" t="str">
            <v>NA</v>
          </cell>
          <cell r="E411" t="str">
            <v>NA</v>
          </cell>
          <cell r="F411" t="str">
            <v>NA</v>
          </cell>
        </row>
        <row r="412">
          <cell r="A412" t="str">
            <v>AL012001</v>
          </cell>
          <cell r="B412">
            <v>2001</v>
          </cell>
          <cell r="C412" t="str">
            <v>ALLISON</v>
          </cell>
          <cell r="D412" t="str">
            <v>NA</v>
          </cell>
          <cell r="E412" t="str">
            <v>NA</v>
          </cell>
          <cell r="F412" t="str">
            <v>NA</v>
          </cell>
        </row>
        <row r="413">
          <cell r="A413" t="str">
            <v>AL032001</v>
          </cell>
          <cell r="B413">
            <v>2001</v>
          </cell>
          <cell r="C413" t="str">
            <v>BARRY</v>
          </cell>
          <cell r="D413" t="str">
            <v>NA</v>
          </cell>
          <cell r="E413" t="str">
            <v>NA</v>
          </cell>
          <cell r="F413" t="str">
            <v>NA</v>
          </cell>
        </row>
        <row r="414">
          <cell r="A414" t="str">
            <v>AL042001</v>
          </cell>
          <cell r="B414">
            <v>2001</v>
          </cell>
          <cell r="C414" t="str">
            <v>CHANTAL</v>
          </cell>
          <cell r="D414" t="str">
            <v>NA</v>
          </cell>
          <cell r="E414" t="str">
            <v>NA</v>
          </cell>
          <cell r="F414" t="str">
            <v>NA</v>
          </cell>
        </row>
        <row r="415">
          <cell r="A415" t="str">
            <v>AL052001</v>
          </cell>
          <cell r="B415">
            <v>2001</v>
          </cell>
          <cell r="C415" t="str">
            <v>DEAN</v>
          </cell>
          <cell r="D415" t="str">
            <v>NA</v>
          </cell>
          <cell r="E415" t="str">
            <v>NA</v>
          </cell>
          <cell r="F415" t="str">
            <v>NA</v>
          </cell>
        </row>
        <row r="416">
          <cell r="A416" t="str">
            <v>AL062001</v>
          </cell>
          <cell r="B416">
            <v>2001</v>
          </cell>
          <cell r="C416" t="str">
            <v>ERIN</v>
          </cell>
          <cell r="D416">
            <v>3</v>
          </cell>
          <cell r="E416">
            <v>105</v>
          </cell>
          <cell r="F416">
            <v>968</v>
          </cell>
        </row>
        <row r="417">
          <cell r="A417" t="str">
            <v>AL072001</v>
          </cell>
          <cell r="B417">
            <v>2001</v>
          </cell>
          <cell r="C417" t="str">
            <v>FELIX</v>
          </cell>
          <cell r="D417">
            <v>3</v>
          </cell>
          <cell r="E417">
            <v>100</v>
          </cell>
          <cell r="F417">
            <v>962</v>
          </cell>
        </row>
        <row r="418">
          <cell r="A418" t="str">
            <v>AL082001</v>
          </cell>
          <cell r="B418">
            <v>2001</v>
          </cell>
          <cell r="C418" t="str">
            <v>GABRIELLE</v>
          </cell>
          <cell r="D418">
            <v>1</v>
          </cell>
          <cell r="E418">
            <v>70</v>
          </cell>
          <cell r="F418">
            <v>983</v>
          </cell>
        </row>
        <row r="419">
          <cell r="A419" t="str">
            <v>AL102001</v>
          </cell>
          <cell r="B419">
            <v>2001</v>
          </cell>
          <cell r="C419" t="str">
            <v>HUMBERTO</v>
          </cell>
          <cell r="D419">
            <v>2</v>
          </cell>
          <cell r="E419">
            <v>90</v>
          </cell>
          <cell r="F419">
            <v>970</v>
          </cell>
        </row>
        <row r="420">
          <cell r="A420" t="str">
            <v>AL112001</v>
          </cell>
          <cell r="B420">
            <v>2001</v>
          </cell>
          <cell r="C420" t="str">
            <v>IRIS</v>
          </cell>
          <cell r="D420">
            <v>4</v>
          </cell>
          <cell r="E420">
            <v>125</v>
          </cell>
          <cell r="F420">
            <v>948</v>
          </cell>
        </row>
        <row r="421">
          <cell r="A421" t="str">
            <v>AL122001</v>
          </cell>
          <cell r="B421">
            <v>2001</v>
          </cell>
          <cell r="C421" t="str">
            <v>JERRY</v>
          </cell>
          <cell r="D421" t="str">
            <v>NA</v>
          </cell>
          <cell r="E421" t="str">
            <v>NA</v>
          </cell>
          <cell r="F421" t="str">
            <v>NA</v>
          </cell>
        </row>
        <row r="422">
          <cell r="A422" t="str">
            <v>AL132001</v>
          </cell>
          <cell r="B422">
            <v>2001</v>
          </cell>
          <cell r="C422" t="str">
            <v>KAREN</v>
          </cell>
          <cell r="D422">
            <v>1</v>
          </cell>
          <cell r="E422">
            <v>70</v>
          </cell>
          <cell r="F422">
            <v>982</v>
          </cell>
        </row>
        <row r="423">
          <cell r="A423" t="str">
            <v>AL142001</v>
          </cell>
          <cell r="B423">
            <v>2001</v>
          </cell>
          <cell r="C423" t="str">
            <v>LORENZO</v>
          </cell>
          <cell r="D423" t="str">
            <v>NA</v>
          </cell>
          <cell r="E423" t="str">
            <v>NA</v>
          </cell>
          <cell r="F423" t="str">
            <v>NA</v>
          </cell>
        </row>
        <row r="424">
          <cell r="A424" t="str">
            <v>AL152001</v>
          </cell>
          <cell r="B424">
            <v>2001</v>
          </cell>
          <cell r="C424" t="str">
            <v>MICHELLE</v>
          </cell>
          <cell r="D424">
            <v>4</v>
          </cell>
          <cell r="E424">
            <v>120</v>
          </cell>
          <cell r="F424">
            <v>933</v>
          </cell>
        </row>
        <row r="425">
          <cell r="A425" t="str">
            <v>AL162001</v>
          </cell>
          <cell r="B425">
            <v>2001</v>
          </cell>
          <cell r="C425" t="str">
            <v>NOEL</v>
          </cell>
          <cell r="D425">
            <v>1</v>
          </cell>
          <cell r="E425">
            <v>65</v>
          </cell>
          <cell r="F425">
            <v>986</v>
          </cell>
        </row>
        <row r="426">
          <cell r="A426" t="str">
            <v>AL172001</v>
          </cell>
          <cell r="B426">
            <v>2001</v>
          </cell>
          <cell r="C426" t="str">
            <v>OLGA</v>
          </cell>
          <cell r="D426">
            <v>1</v>
          </cell>
          <cell r="E426">
            <v>80</v>
          </cell>
          <cell r="F426">
            <v>973</v>
          </cell>
        </row>
        <row r="427">
          <cell r="A427" t="str">
            <v>AL022001</v>
          </cell>
          <cell r="B427">
            <v>2001</v>
          </cell>
          <cell r="C427" t="str">
            <v>STORM 2</v>
          </cell>
          <cell r="D427" t="str">
            <v>NA</v>
          </cell>
          <cell r="E427" t="str">
            <v>NA</v>
          </cell>
          <cell r="F427" t="str">
            <v>NA</v>
          </cell>
        </row>
        <row r="428">
          <cell r="A428" t="str">
            <v>AL092001</v>
          </cell>
          <cell r="B428">
            <v>2001</v>
          </cell>
          <cell r="C428" t="str">
            <v>STORM 9</v>
          </cell>
          <cell r="D428" t="str">
            <v>NA</v>
          </cell>
          <cell r="E428" t="str">
            <v>NA</v>
          </cell>
          <cell r="F428" t="str">
            <v>NA</v>
          </cell>
        </row>
        <row r="429">
          <cell r="A429" t="str">
            <v>AL032000</v>
          </cell>
          <cell r="B429">
            <v>2000</v>
          </cell>
          <cell r="C429" t="str">
            <v>ALBERTO</v>
          </cell>
          <cell r="D429">
            <v>3</v>
          </cell>
          <cell r="E429">
            <v>110</v>
          </cell>
          <cell r="F429">
            <v>950</v>
          </cell>
        </row>
        <row r="430">
          <cell r="A430" t="str">
            <v>AL052000</v>
          </cell>
          <cell r="B430">
            <v>2000</v>
          </cell>
          <cell r="C430" t="str">
            <v>BERYL</v>
          </cell>
          <cell r="D430" t="str">
            <v>NA</v>
          </cell>
          <cell r="E430" t="str">
            <v>NA</v>
          </cell>
          <cell r="F430" t="str">
            <v>NA</v>
          </cell>
        </row>
        <row r="431">
          <cell r="A431" t="str">
            <v>AL062000</v>
          </cell>
          <cell r="B431">
            <v>2000</v>
          </cell>
          <cell r="C431" t="str">
            <v>CHRIS</v>
          </cell>
          <cell r="D431" t="str">
            <v>NA</v>
          </cell>
          <cell r="E431" t="str">
            <v>NA</v>
          </cell>
          <cell r="F431" t="str">
            <v>NA</v>
          </cell>
        </row>
        <row r="432">
          <cell r="A432" t="str">
            <v>AL072000</v>
          </cell>
          <cell r="B432">
            <v>2000</v>
          </cell>
          <cell r="C432" t="str">
            <v>DEBBY</v>
          </cell>
          <cell r="D432">
            <v>1</v>
          </cell>
          <cell r="E432">
            <v>75</v>
          </cell>
          <cell r="F432">
            <v>991</v>
          </cell>
        </row>
        <row r="433">
          <cell r="A433" t="str">
            <v>AL082000</v>
          </cell>
          <cell r="B433">
            <v>2000</v>
          </cell>
          <cell r="C433" t="str">
            <v>ERNESTO</v>
          </cell>
          <cell r="D433" t="str">
            <v>NA</v>
          </cell>
          <cell r="E433" t="str">
            <v>NA</v>
          </cell>
          <cell r="F433" t="str">
            <v>NA</v>
          </cell>
        </row>
        <row r="434">
          <cell r="A434" t="str">
            <v>AL102000</v>
          </cell>
          <cell r="B434">
            <v>2000</v>
          </cell>
          <cell r="C434" t="str">
            <v>FLORENCE</v>
          </cell>
          <cell r="D434">
            <v>1</v>
          </cell>
          <cell r="E434">
            <v>70</v>
          </cell>
          <cell r="F434">
            <v>985</v>
          </cell>
        </row>
        <row r="435">
          <cell r="A435" t="str">
            <v>AL112000</v>
          </cell>
          <cell r="B435">
            <v>2000</v>
          </cell>
          <cell r="C435" t="str">
            <v>GORDON</v>
          </cell>
          <cell r="D435">
            <v>1</v>
          </cell>
          <cell r="E435">
            <v>70</v>
          </cell>
          <cell r="F435">
            <v>981</v>
          </cell>
        </row>
        <row r="436">
          <cell r="A436" t="str">
            <v>AL122000</v>
          </cell>
          <cell r="B436">
            <v>2000</v>
          </cell>
          <cell r="C436" t="str">
            <v>HELENE</v>
          </cell>
          <cell r="D436" t="str">
            <v>NA</v>
          </cell>
          <cell r="E436" t="str">
            <v>NA</v>
          </cell>
          <cell r="F436" t="str">
            <v>NA</v>
          </cell>
        </row>
        <row r="437">
          <cell r="A437" t="str">
            <v>AL132000</v>
          </cell>
          <cell r="B437">
            <v>2000</v>
          </cell>
          <cell r="C437" t="str">
            <v>ISAAC</v>
          </cell>
          <cell r="D437">
            <v>4</v>
          </cell>
          <cell r="E437">
            <v>120</v>
          </cell>
          <cell r="F437">
            <v>943</v>
          </cell>
        </row>
        <row r="438">
          <cell r="A438" t="str">
            <v>AL142000</v>
          </cell>
          <cell r="B438">
            <v>2000</v>
          </cell>
          <cell r="C438" t="str">
            <v>JOYCE</v>
          </cell>
          <cell r="D438">
            <v>1</v>
          </cell>
          <cell r="E438">
            <v>80</v>
          </cell>
          <cell r="F438">
            <v>975</v>
          </cell>
        </row>
        <row r="439">
          <cell r="A439" t="str">
            <v>AL152000</v>
          </cell>
          <cell r="B439">
            <v>2000</v>
          </cell>
          <cell r="C439" t="str">
            <v>KEITH</v>
          </cell>
          <cell r="D439">
            <v>4</v>
          </cell>
          <cell r="E439">
            <v>120</v>
          </cell>
          <cell r="F439">
            <v>939</v>
          </cell>
        </row>
        <row r="440">
          <cell r="A440" t="str">
            <v>AL162000</v>
          </cell>
          <cell r="B440">
            <v>2000</v>
          </cell>
          <cell r="C440" t="str">
            <v>LESLIE</v>
          </cell>
          <cell r="D440" t="str">
            <v>NA</v>
          </cell>
          <cell r="E440" t="str">
            <v>NA</v>
          </cell>
          <cell r="F440" t="str">
            <v>NA</v>
          </cell>
        </row>
        <row r="441">
          <cell r="A441" t="str">
            <v>AL172000</v>
          </cell>
          <cell r="B441">
            <v>2000</v>
          </cell>
          <cell r="C441" t="str">
            <v>MICHAEL</v>
          </cell>
          <cell r="D441">
            <v>2</v>
          </cell>
          <cell r="E441">
            <v>85</v>
          </cell>
          <cell r="F441">
            <v>965</v>
          </cell>
        </row>
        <row r="442">
          <cell r="A442" t="str">
            <v>AL182000</v>
          </cell>
          <cell r="B442">
            <v>2000</v>
          </cell>
          <cell r="C442" t="str">
            <v>NADINE</v>
          </cell>
          <cell r="D442" t="str">
            <v>NA</v>
          </cell>
          <cell r="E442" t="str">
            <v>NA</v>
          </cell>
          <cell r="F442" t="str">
            <v>NA</v>
          </cell>
        </row>
        <row r="443">
          <cell r="A443" t="str">
            <v>AL012000</v>
          </cell>
          <cell r="B443">
            <v>2000</v>
          </cell>
          <cell r="C443" t="str">
            <v>STORM 1</v>
          </cell>
          <cell r="D443" t="str">
            <v>NA</v>
          </cell>
          <cell r="E443" t="str">
            <v>NA</v>
          </cell>
          <cell r="F443" t="str">
            <v>NA</v>
          </cell>
        </row>
        <row r="444">
          <cell r="A444" t="str">
            <v>AL192000</v>
          </cell>
          <cell r="B444">
            <v>2000</v>
          </cell>
          <cell r="C444" t="str">
            <v>STORM 19</v>
          </cell>
          <cell r="D444" t="str">
            <v>NA</v>
          </cell>
          <cell r="E444" t="str">
            <v>NA</v>
          </cell>
          <cell r="F444" t="str">
            <v>NA</v>
          </cell>
        </row>
        <row r="445">
          <cell r="A445" t="str">
            <v>AL022000</v>
          </cell>
          <cell r="B445">
            <v>2000</v>
          </cell>
          <cell r="C445" t="str">
            <v>STORM 2</v>
          </cell>
          <cell r="D445" t="str">
            <v>NA</v>
          </cell>
          <cell r="E445" t="str">
            <v>NA</v>
          </cell>
          <cell r="F445" t="str">
            <v>NA</v>
          </cell>
        </row>
        <row r="446">
          <cell r="A446" t="str">
            <v>AL042000</v>
          </cell>
          <cell r="B446">
            <v>2000</v>
          </cell>
          <cell r="C446" t="str">
            <v>STORM 4</v>
          </cell>
          <cell r="D446" t="str">
            <v>NA</v>
          </cell>
          <cell r="E446" t="str">
            <v>NA</v>
          </cell>
          <cell r="F446" t="str">
            <v>NA</v>
          </cell>
        </row>
        <row r="447">
          <cell r="A447" t="str">
            <v>AL092000</v>
          </cell>
          <cell r="B447">
            <v>2000</v>
          </cell>
          <cell r="C447" t="str">
            <v>STORM 9</v>
          </cell>
          <cell r="D447" t="str">
            <v>NA</v>
          </cell>
          <cell r="E447" t="str">
            <v>NA</v>
          </cell>
          <cell r="F447" t="str">
            <v>NA</v>
          </cell>
        </row>
        <row r="448">
          <cell r="A448" t="str">
            <v>AL011999</v>
          </cell>
          <cell r="B448">
            <v>1999</v>
          </cell>
          <cell r="C448" t="str">
            <v>ARLENE</v>
          </cell>
          <cell r="D448" t="str">
            <v>NA</v>
          </cell>
          <cell r="E448" t="str">
            <v>NA</v>
          </cell>
          <cell r="F448" t="str">
            <v>NA</v>
          </cell>
        </row>
        <row r="449">
          <cell r="A449" t="str">
            <v>AL031999</v>
          </cell>
          <cell r="B449">
            <v>1999</v>
          </cell>
          <cell r="C449" t="str">
            <v>BRET</v>
          </cell>
          <cell r="D449">
            <v>4</v>
          </cell>
          <cell r="E449">
            <v>125</v>
          </cell>
          <cell r="F449">
            <v>944</v>
          </cell>
        </row>
        <row r="450">
          <cell r="A450" t="str">
            <v>AL041999</v>
          </cell>
          <cell r="B450">
            <v>1999</v>
          </cell>
          <cell r="C450" t="str">
            <v>CINDY</v>
          </cell>
          <cell r="D450">
            <v>4</v>
          </cell>
          <cell r="E450">
            <v>120</v>
          </cell>
          <cell r="F450">
            <v>942</v>
          </cell>
        </row>
        <row r="451">
          <cell r="A451" t="str">
            <v>AL051999</v>
          </cell>
          <cell r="B451">
            <v>1999</v>
          </cell>
          <cell r="C451" t="str">
            <v>DENNIS</v>
          </cell>
          <cell r="D451">
            <v>2</v>
          </cell>
          <cell r="E451">
            <v>90</v>
          </cell>
          <cell r="F451">
            <v>962</v>
          </cell>
        </row>
        <row r="452">
          <cell r="A452" t="str">
            <v>AL061999</v>
          </cell>
          <cell r="B452">
            <v>1999</v>
          </cell>
          <cell r="C452" t="str">
            <v>EMILY</v>
          </cell>
          <cell r="D452" t="str">
            <v>NA</v>
          </cell>
          <cell r="E452" t="str">
            <v>NA</v>
          </cell>
          <cell r="F452" t="str">
            <v>NA</v>
          </cell>
        </row>
        <row r="453">
          <cell r="A453" t="str">
            <v>AL081999</v>
          </cell>
          <cell r="B453">
            <v>1999</v>
          </cell>
          <cell r="C453" t="str">
            <v>FLOYD</v>
          </cell>
          <cell r="D453">
            <v>4</v>
          </cell>
          <cell r="E453">
            <v>135</v>
          </cell>
          <cell r="F453">
            <v>921</v>
          </cell>
        </row>
        <row r="454">
          <cell r="A454" t="str">
            <v>AL091999</v>
          </cell>
          <cell r="B454">
            <v>1999</v>
          </cell>
          <cell r="C454" t="str">
            <v>GERT</v>
          </cell>
          <cell r="D454">
            <v>4</v>
          </cell>
          <cell r="E454">
            <v>130</v>
          </cell>
          <cell r="F454">
            <v>930</v>
          </cell>
        </row>
        <row r="455">
          <cell r="A455" t="str">
            <v>AL101999</v>
          </cell>
          <cell r="B455">
            <v>1999</v>
          </cell>
          <cell r="C455" t="str">
            <v>HARVEY</v>
          </cell>
          <cell r="D455" t="str">
            <v>NA</v>
          </cell>
          <cell r="E455" t="str">
            <v>NA</v>
          </cell>
          <cell r="F455" t="str">
            <v>NA</v>
          </cell>
        </row>
        <row r="456">
          <cell r="A456" t="str">
            <v>AL131999</v>
          </cell>
          <cell r="B456">
            <v>1999</v>
          </cell>
          <cell r="C456" t="str">
            <v>IRENE</v>
          </cell>
          <cell r="D456">
            <v>2</v>
          </cell>
          <cell r="E456">
            <v>95</v>
          </cell>
          <cell r="F456">
            <v>958</v>
          </cell>
        </row>
        <row r="457">
          <cell r="A457" t="str">
            <v>AL141999</v>
          </cell>
          <cell r="B457">
            <v>1999</v>
          </cell>
          <cell r="C457" t="str">
            <v>JOSE</v>
          </cell>
          <cell r="D457">
            <v>2</v>
          </cell>
          <cell r="E457">
            <v>85</v>
          </cell>
          <cell r="F457">
            <v>979</v>
          </cell>
        </row>
        <row r="458">
          <cell r="A458" t="str">
            <v>AL151999</v>
          </cell>
          <cell r="B458">
            <v>1999</v>
          </cell>
          <cell r="C458" t="str">
            <v>KATRINA</v>
          </cell>
          <cell r="D458" t="str">
            <v>NA</v>
          </cell>
          <cell r="E458" t="str">
            <v>NA</v>
          </cell>
          <cell r="F458" t="str">
            <v>NA</v>
          </cell>
        </row>
        <row r="459">
          <cell r="A459" t="str">
            <v>AL161999</v>
          </cell>
          <cell r="B459">
            <v>1999</v>
          </cell>
          <cell r="C459" t="str">
            <v>LENNY</v>
          </cell>
          <cell r="D459">
            <v>4</v>
          </cell>
          <cell r="E459">
            <v>135</v>
          </cell>
          <cell r="F459">
            <v>933</v>
          </cell>
        </row>
        <row r="460">
          <cell r="A460" t="str">
            <v>AL111999</v>
          </cell>
          <cell r="B460">
            <v>1999</v>
          </cell>
          <cell r="C460" t="str">
            <v>STORM 11</v>
          </cell>
          <cell r="D460" t="str">
            <v>NA</v>
          </cell>
          <cell r="E460" t="str">
            <v>NA</v>
          </cell>
          <cell r="F460" t="str">
            <v>NA</v>
          </cell>
        </row>
        <row r="461">
          <cell r="A461" t="str">
            <v>AL121999</v>
          </cell>
          <cell r="B461">
            <v>1999</v>
          </cell>
          <cell r="C461" t="str">
            <v>STORM 12</v>
          </cell>
          <cell r="D461" t="str">
            <v>NA</v>
          </cell>
          <cell r="E461" t="str">
            <v>NA</v>
          </cell>
          <cell r="F461" t="str">
            <v>NA</v>
          </cell>
        </row>
        <row r="462">
          <cell r="A462" t="str">
            <v>AL021999</v>
          </cell>
          <cell r="B462">
            <v>1999</v>
          </cell>
          <cell r="C462" t="str">
            <v>STORM 2</v>
          </cell>
          <cell r="D462" t="str">
            <v>NA</v>
          </cell>
          <cell r="E462" t="str">
            <v>NA</v>
          </cell>
          <cell r="F462" t="str">
            <v>NA</v>
          </cell>
        </row>
        <row r="463">
          <cell r="A463" t="str">
            <v>AL071999</v>
          </cell>
          <cell r="B463">
            <v>1999</v>
          </cell>
          <cell r="C463" t="str">
            <v>STORM 7</v>
          </cell>
          <cell r="D463" t="str">
            <v>NA</v>
          </cell>
          <cell r="E463" t="str">
            <v>NA</v>
          </cell>
          <cell r="F463" t="str">
            <v>NA</v>
          </cell>
        </row>
        <row r="464">
          <cell r="A464" t="str">
            <v>AL011998</v>
          </cell>
          <cell r="B464">
            <v>1998</v>
          </cell>
          <cell r="C464" t="str">
            <v>ALEX</v>
          </cell>
          <cell r="D464" t="str">
            <v>NA</v>
          </cell>
          <cell r="E464" t="str">
            <v>NA</v>
          </cell>
          <cell r="F464" t="str">
            <v>NA</v>
          </cell>
        </row>
        <row r="465">
          <cell r="A465" t="str">
            <v>AL021998</v>
          </cell>
          <cell r="B465">
            <v>1998</v>
          </cell>
          <cell r="C465" t="str">
            <v>BONNIE</v>
          </cell>
          <cell r="D465">
            <v>3</v>
          </cell>
          <cell r="E465">
            <v>100</v>
          </cell>
          <cell r="F465">
            <v>954</v>
          </cell>
        </row>
        <row r="466">
          <cell r="A466" t="str">
            <v>AL031998</v>
          </cell>
          <cell r="B466">
            <v>1998</v>
          </cell>
          <cell r="C466" t="str">
            <v>CHARLEY</v>
          </cell>
          <cell r="D466" t="str">
            <v>NA</v>
          </cell>
          <cell r="E466" t="str">
            <v>NA</v>
          </cell>
          <cell r="F466" t="str">
            <v>NA</v>
          </cell>
        </row>
        <row r="467">
          <cell r="A467" t="str">
            <v>AL041998</v>
          </cell>
          <cell r="B467">
            <v>1998</v>
          </cell>
          <cell r="C467" t="str">
            <v>DANIELLE</v>
          </cell>
          <cell r="D467">
            <v>2</v>
          </cell>
          <cell r="E467">
            <v>90</v>
          </cell>
          <cell r="F467">
            <v>960</v>
          </cell>
        </row>
        <row r="468">
          <cell r="A468" t="str">
            <v>AL051998</v>
          </cell>
          <cell r="B468">
            <v>1998</v>
          </cell>
          <cell r="C468" t="str">
            <v>EARL</v>
          </cell>
          <cell r="D468">
            <v>2</v>
          </cell>
          <cell r="E468">
            <v>85</v>
          </cell>
          <cell r="F468">
            <v>985</v>
          </cell>
        </row>
        <row r="469">
          <cell r="A469" t="str">
            <v>AL061998</v>
          </cell>
          <cell r="B469">
            <v>1998</v>
          </cell>
          <cell r="C469" t="str">
            <v>FRANCES</v>
          </cell>
          <cell r="D469" t="str">
            <v>NA</v>
          </cell>
          <cell r="E469" t="str">
            <v>NA</v>
          </cell>
          <cell r="F469" t="str">
            <v>NA</v>
          </cell>
        </row>
        <row r="470">
          <cell r="A470" t="str">
            <v>AL071998</v>
          </cell>
          <cell r="B470">
            <v>1998</v>
          </cell>
          <cell r="C470" t="str">
            <v>GEORGES</v>
          </cell>
          <cell r="D470">
            <v>4</v>
          </cell>
          <cell r="E470">
            <v>135</v>
          </cell>
          <cell r="F470">
            <v>937</v>
          </cell>
        </row>
        <row r="471">
          <cell r="A471" t="str">
            <v>AL081998</v>
          </cell>
          <cell r="B471">
            <v>1998</v>
          </cell>
          <cell r="C471" t="str">
            <v>HERMINE</v>
          </cell>
          <cell r="D471" t="str">
            <v>NA</v>
          </cell>
          <cell r="E471" t="str">
            <v>NA</v>
          </cell>
          <cell r="F471" t="str">
            <v>NA</v>
          </cell>
        </row>
        <row r="472">
          <cell r="A472" t="str">
            <v>AL091998</v>
          </cell>
          <cell r="B472">
            <v>1998</v>
          </cell>
          <cell r="C472" t="str">
            <v>IVAN</v>
          </cell>
          <cell r="D472">
            <v>1</v>
          </cell>
          <cell r="E472">
            <v>80</v>
          </cell>
          <cell r="F472">
            <v>975</v>
          </cell>
        </row>
        <row r="473">
          <cell r="A473" t="str">
            <v>AL101998</v>
          </cell>
          <cell r="B473">
            <v>1998</v>
          </cell>
          <cell r="C473" t="str">
            <v>JEANNE</v>
          </cell>
          <cell r="D473">
            <v>2</v>
          </cell>
          <cell r="E473">
            <v>90</v>
          </cell>
          <cell r="F473">
            <v>969</v>
          </cell>
        </row>
        <row r="474">
          <cell r="A474" t="str">
            <v>AL111998</v>
          </cell>
          <cell r="B474">
            <v>1998</v>
          </cell>
          <cell r="C474" t="str">
            <v>KARL</v>
          </cell>
          <cell r="D474">
            <v>2</v>
          </cell>
          <cell r="E474">
            <v>90</v>
          </cell>
          <cell r="F474">
            <v>970</v>
          </cell>
        </row>
        <row r="475">
          <cell r="A475" t="str">
            <v>AL121998</v>
          </cell>
          <cell r="B475">
            <v>1998</v>
          </cell>
          <cell r="C475" t="str">
            <v>LISA</v>
          </cell>
          <cell r="D475">
            <v>1</v>
          </cell>
          <cell r="E475">
            <v>65</v>
          </cell>
          <cell r="F475">
            <v>995</v>
          </cell>
        </row>
        <row r="476">
          <cell r="A476" t="str">
            <v>AL131998</v>
          </cell>
          <cell r="B476">
            <v>1998</v>
          </cell>
          <cell r="C476" t="str">
            <v>MITCH</v>
          </cell>
          <cell r="D476">
            <v>5</v>
          </cell>
          <cell r="E476">
            <v>155</v>
          </cell>
          <cell r="F476">
            <v>905</v>
          </cell>
        </row>
        <row r="477">
          <cell r="A477" t="str">
            <v>AL141998</v>
          </cell>
          <cell r="B477">
            <v>1998</v>
          </cell>
          <cell r="C477" t="str">
            <v>NICOLE</v>
          </cell>
          <cell r="D477">
            <v>1</v>
          </cell>
          <cell r="E477">
            <v>75</v>
          </cell>
          <cell r="F477">
            <v>979</v>
          </cell>
        </row>
        <row r="478">
          <cell r="A478" t="str">
            <v>AL021997</v>
          </cell>
          <cell r="B478">
            <v>1997</v>
          </cell>
          <cell r="C478" t="str">
            <v>ANA</v>
          </cell>
          <cell r="D478" t="str">
            <v>NA</v>
          </cell>
          <cell r="E478" t="str">
            <v>NA</v>
          </cell>
          <cell r="F478" t="str">
            <v>NA</v>
          </cell>
        </row>
        <row r="479">
          <cell r="A479" t="str">
            <v>AL031997</v>
          </cell>
          <cell r="B479">
            <v>1997</v>
          </cell>
          <cell r="C479" t="str">
            <v>BILL</v>
          </cell>
          <cell r="D479">
            <v>1</v>
          </cell>
          <cell r="E479">
            <v>65</v>
          </cell>
          <cell r="F479">
            <v>986</v>
          </cell>
        </row>
        <row r="480">
          <cell r="A480" t="str">
            <v>AL041997</v>
          </cell>
          <cell r="B480">
            <v>1997</v>
          </cell>
          <cell r="C480" t="str">
            <v>CLAUDETTE</v>
          </cell>
          <cell r="D480" t="str">
            <v>NA</v>
          </cell>
          <cell r="E480" t="str">
            <v>NA</v>
          </cell>
          <cell r="F480" t="str">
            <v>NA</v>
          </cell>
        </row>
        <row r="481">
          <cell r="A481" t="str">
            <v>AL051997</v>
          </cell>
          <cell r="B481">
            <v>1997</v>
          </cell>
          <cell r="C481" t="str">
            <v>DANNY</v>
          </cell>
          <cell r="D481">
            <v>1</v>
          </cell>
          <cell r="E481">
            <v>70</v>
          </cell>
          <cell r="F481">
            <v>984</v>
          </cell>
        </row>
        <row r="482">
          <cell r="A482" t="str">
            <v>AL071997</v>
          </cell>
          <cell r="B482">
            <v>1997</v>
          </cell>
          <cell r="C482" t="str">
            <v>ERIKA</v>
          </cell>
          <cell r="D482">
            <v>3</v>
          </cell>
          <cell r="E482">
            <v>110</v>
          </cell>
          <cell r="F482">
            <v>946</v>
          </cell>
        </row>
        <row r="483">
          <cell r="A483" t="str">
            <v>AL081997</v>
          </cell>
          <cell r="B483">
            <v>1997</v>
          </cell>
          <cell r="C483" t="str">
            <v>FABIAN</v>
          </cell>
          <cell r="D483" t="str">
            <v>NA</v>
          </cell>
          <cell r="E483" t="str">
            <v>NA</v>
          </cell>
          <cell r="F483" t="str">
            <v>NA</v>
          </cell>
        </row>
        <row r="484">
          <cell r="A484" t="str">
            <v>AL091997</v>
          </cell>
          <cell r="B484">
            <v>1997</v>
          </cell>
          <cell r="C484" t="str">
            <v>GRACE</v>
          </cell>
          <cell r="D484" t="str">
            <v>NA</v>
          </cell>
          <cell r="E484" t="str">
            <v>NA</v>
          </cell>
          <cell r="F484" t="str">
            <v>NA</v>
          </cell>
        </row>
        <row r="485">
          <cell r="A485" t="str">
            <v>AL011997</v>
          </cell>
          <cell r="B485">
            <v>1997</v>
          </cell>
          <cell r="C485" t="str">
            <v>STORM 1</v>
          </cell>
          <cell r="D485" t="str">
            <v>NA</v>
          </cell>
          <cell r="E485" t="str">
            <v>NA</v>
          </cell>
          <cell r="F485" t="str">
            <v>NA</v>
          </cell>
        </row>
        <row r="486">
          <cell r="A486" t="str">
            <v>AL061997</v>
          </cell>
          <cell r="B486">
            <v>1997</v>
          </cell>
          <cell r="C486" t="str">
            <v>STORM 6</v>
          </cell>
          <cell r="D486" t="str">
            <v>NA</v>
          </cell>
          <cell r="E486" t="str">
            <v>NA</v>
          </cell>
          <cell r="F486" t="str">
            <v>NA</v>
          </cell>
        </row>
        <row r="487">
          <cell r="A487" t="str">
            <v>AL011996</v>
          </cell>
          <cell r="B487">
            <v>1996</v>
          </cell>
          <cell r="C487" t="str">
            <v>ARTHUR</v>
          </cell>
          <cell r="D487" t="str">
            <v>NA</v>
          </cell>
          <cell r="E487" t="str">
            <v>NA</v>
          </cell>
          <cell r="F487" t="str">
            <v>NA</v>
          </cell>
        </row>
        <row r="488">
          <cell r="A488" t="str">
            <v>AL021996</v>
          </cell>
          <cell r="B488">
            <v>1996</v>
          </cell>
          <cell r="C488" t="str">
            <v>BERTHA</v>
          </cell>
          <cell r="D488">
            <v>3</v>
          </cell>
          <cell r="E488">
            <v>100</v>
          </cell>
          <cell r="F488">
            <v>960</v>
          </cell>
        </row>
        <row r="489">
          <cell r="A489" t="str">
            <v>AL031996</v>
          </cell>
          <cell r="B489">
            <v>1996</v>
          </cell>
          <cell r="C489" t="str">
            <v>CESAR</v>
          </cell>
          <cell r="D489">
            <v>1</v>
          </cell>
          <cell r="E489">
            <v>75</v>
          </cell>
          <cell r="F489">
            <v>985</v>
          </cell>
        </row>
        <row r="490">
          <cell r="A490" t="str">
            <v>AL041996</v>
          </cell>
          <cell r="B490">
            <v>1996</v>
          </cell>
          <cell r="C490" t="str">
            <v>DOLLY</v>
          </cell>
          <cell r="D490">
            <v>1</v>
          </cell>
          <cell r="E490">
            <v>70</v>
          </cell>
          <cell r="F490">
            <v>989</v>
          </cell>
        </row>
        <row r="491">
          <cell r="A491" t="str">
            <v>AL051996</v>
          </cell>
          <cell r="B491">
            <v>1996</v>
          </cell>
          <cell r="C491" t="str">
            <v>EDOUARD</v>
          </cell>
          <cell r="D491">
            <v>4</v>
          </cell>
          <cell r="E491">
            <v>125</v>
          </cell>
          <cell r="F491">
            <v>933</v>
          </cell>
        </row>
        <row r="492">
          <cell r="A492" t="str">
            <v>AL061996</v>
          </cell>
          <cell r="B492">
            <v>1996</v>
          </cell>
          <cell r="C492" t="str">
            <v>FRAN</v>
          </cell>
          <cell r="D492">
            <v>3</v>
          </cell>
          <cell r="E492">
            <v>105</v>
          </cell>
          <cell r="F492">
            <v>946</v>
          </cell>
        </row>
        <row r="493">
          <cell r="A493" t="str">
            <v>AL071996</v>
          </cell>
          <cell r="B493">
            <v>1996</v>
          </cell>
          <cell r="C493" t="str">
            <v>GUSTAV</v>
          </cell>
          <cell r="D493" t="str">
            <v>NA</v>
          </cell>
          <cell r="E493" t="str">
            <v>NA</v>
          </cell>
          <cell r="F493" t="str">
            <v>NA</v>
          </cell>
        </row>
        <row r="494">
          <cell r="A494" t="str">
            <v>AL081996</v>
          </cell>
          <cell r="B494">
            <v>1996</v>
          </cell>
          <cell r="C494" t="str">
            <v>HORTENSE</v>
          </cell>
          <cell r="D494">
            <v>4</v>
          </cell>
          <cell r="E494">
            <v>120</v>
          </cell>
          <cell r="F494">
            <v>935</v>
          </cell>
        </row>
        <row r="495">
          <cell r="A495" t="str">
            <v>AL091996</v>
          </cell>
          <cell r="B495">
            <v>1996</v>
          </cell>
          <cell r="C495" t="str">
            <v>ISIDORE</v>
          </cell>
          <cell r="D495">
            <v>3</v>
          </cell>
          <cell r="E495">
            <v>100</v>
          </cell>
          <cell r="F495">
            <v>960</v>
          </cell>
        </row>
        <row r="496">
          <cell r="A496" t="str">
            <v>AL101996</v>
          </cell>
          <cell r="B496">
            <v>1996</v>
          </cell>
          <cell r="C496" t="str">
            <v>JOSEPHINE</v>
          </cell>
          <cell r="D496" t="str">
            <v>NA</v>
          </cell>
          <cell r="E496" t="str">
            <v>NA</v>
          </cell>
          <cell r="F496" t="str">
            <v>NA</v>
          </cell>
        </row>
        <row r="497">
          <cell r="A497" t="str">
            <v>AL111996</v>
          </cell>
          <cell r="B497">
            <v>1996</v>
          </cell>
          <cell r="C497" t="str">
            <v>KYLE</v>
          </cell>
          <cell r="D497" t="str">
            <v>NA</v>
          </cell>
          <cell r="E497" t="str">
            <v>NA</v>
          </cell>
          <cell r="F497" t="str">
            <v>NA</v>
          </cell>
        </row>
        <row r="498">
          <cell r="A498" t="str">
            <v>AL121996</v>
          </cell>
          <cell r="B498">
            <v>1996</v>
          </cell>
          <cell r="C498" t="str">
            <v>LILI</v>
          </cell>
          <cell r="D498">
            <v>3</v>
          </cell>
          <cell r="E498">
            <v>100</v>
          </cell>
          <cell r="F498">
            <v>960</v>
          </cell>
        </row>
        <row r="499">
          <cell r="A499" t="str">
            <v>AL131996</v>
          </cell>
          <cell r="B499">
            <v>1996</v>
          </cell>
          <cell r="C499" t="str">
            <v>MARCO</v>
          </cell>
          <cell r="D499">
            <v>1</v>
          </cell>
          <cell r="E499">
            <v>65</v>
          </cell>
          <cell r="F499">
            <v>983</v>
          </cell>
        </row>
        <row r="500">
          <cell r="A500" t="str">
            <v>AL011995</v>
          </cell>
          <cell r="B500">
            <v>1995</v>
          </cell>
          <cell r="C500" t="str">
            <v>ALLISON</v>
          </cell>
          <cell r="D500">
            <v>1</v>
          </cell>
          <cell r="E500">
            <v>65</v>
          </cell>
          <cell r="F500">
            <v>987</v>
          </cell>
        </row>
        <row r="501">
          <cell r="A501" t="str">
            <v>AL021995</v>
          </cell>
          <cell r="B501">
            <v>1995</v>
          </cell>
          <cell r="C501" t="str">
            <v>BARRY</v>
          </cell>
          <cell r="D501" t="str">
            <v>NA</v>
          </cell>
          <cell r="E501" t="str">
            <v>NA</v>
          </cell>
          <cell r="F501" t="str">
            <v>NA</v>
          </cell>
        </row>
        <row r="502">
          <cell r="A502" t="str">
            <v>AL031995</v>
          </cell>
          <cell r="B502">
            <v>1995</v>
          </cell>
          <cell r="C502" t="str">
            <v>CHANTAL</v>
          </cell>
          <cell r="D502" t="str">
            <v>NA</v>
          </cell>
          <cell r="E502" t="str">
            <v>NA</v>
          </cell>
          <cell r="F502" t="str">
            <v>NA</v>
          </cell>
        </row>
        <row r="503">
          <cell r="A503" t="str">
            <v>AL041995</v>
          </cell>
          <cell r="B503">
            <v>1995</v>
          </cell>
          <cell r="C503" t="str">
            <v>DEAN</v>
          </cell>
          <cell r="D503" t="str">
            <v>NA</v>
          </cell>
          <cell r="E503" t="str">
            <v>NA</v>
          </cell>
          <cell r="F503" t="str">
            <v>NA</v>
          </cell>
        </row>
        <row r="504">
          <cell r="A504" t="str">
            <v>AL051995</v>
          </cell>
          <cell r="B504">
            <v>1995</v>
          </cell>
          <cell r="C504" t="str">
            <v>ERIN</v>
          </cell>
          <cell r="D504">
            <v>2</v>
          </cell>
          <cell r="E504">
            <v>85</v>
          </cell>
          <cell r="F504">
            <v>973</v>
          </cell>
        </row>
        <row r="505">
          <cell r="A505" t="str">
            <v>AL071995</v>
          </cell>
          <cell r="B505">
            <v>1995</v>
          </cell>
          <cell r="C505" t="str">
            <v>FELIX</v>
          </cell>
          <cell r="D505">
            <v>4</v>
          </cell>
          <cell r="E505">
            <v>120</v>
          </cell>
          <cell r="F505">
            <v>929</v>
          </cell>
        </row>
        <row r="506">
          <cell r="A506" t="str">
            <v>AL081995</v>
          </cell>
          <cell r="B506">
            <v>1995</v>
          </cell>
          <cell r="C506" t="str">
            <v>GABRIELLE</v>
          </cell>
          <cell r="D506" t="str">
            <v>NA</v>
          </cell>
          <cell r="E506" t="str">
            <v>NA</v>
          </cell>
          <cell r="F506" t="str">
            <v>NA</v>
          </cell>
        </row>
        <row r="507">
          <cell r="A507" t="str">
            <v>AL091995</v>
          </cell>
          <cell r="B507">
            <v>1995</v>
          </cell>
          <cell r="C507" t="str">
            <v>HUMBERTO</v>
          </cell>
          <cell r="D507">
            <v>2</v>
          </cell>
          <cell r="E507">
            <v>95</v>
          </cell>
          <cell r="F507">
            <v>968</v>
          </cell>
        </row>
        <row r="508">
          <cell r="A508" t="str">
            <v>AL101995</v>
          </cell>
          <cell r="B508">
            <v>1995</v>
          </cell>
          <cell r="C508" t="str">
            <v>IRIS</v>
          </cell>
          <cell r="D508">
            <v>2</v>
          </cell>
          <cell r="E508">
            <v>95</v>
          </cell>
          <cell r="F508">
            <v>965</v>
          </cell>
        </row>
        <row r="509">
          <cell r="A509" t="str">
            <v>AL111995</v>
          </cell>
          <cell r="B509">
            <v>1995</v>
          </cell>
          <cell r="C509" t="str">
            <v>JERRY</v>
          </cell>
          <cell r="D509" t="str">
            <v>NA</v>
          </cell>
          <cell r="E509" t="str">
            <v>NA</v>
          </cell>
          <cell r="F509" t="str">
            <v>NA</v>
          </cell>
        </row>
        <row r="510">
          <cell r="A510" t="str">
            <v>AL121995</v>
          </cell>
          <cell r="B510">
            <v>1995</v>
          </cell>
          <cell r="C510" t="str">
            <v>KAREN</v>
          </cell>
          <cell r="D510" t="str">
            <v>NA</v>
          </cell>
          <cell r="E510" t="str">
            <v>NA</v>
          </cell>
          <cell r="F510" t="str">
            <v>NA</v>
          </cell>
        </row>
        <row r="511">
          <cell r="A511" t="str">
            <v>AL131995</v>
          </cell>
          <cell r="B511">
            <v>1995</v>
          </cell>
          <cell r="C511" t="str">
            <v>LUIS</v>
          </cell>
          <cell r="D511">
            <v>4</v>
          </cell>
          <cell r="E511">
            <v>130</v>
          </cell>
          <cell r="F511">
            <v>935</v>
          </cell>
        </row>
        <row r="512">
          <cell r="A512" t="str">
            <v>AL151995</v>
          </cell>
          <cell r="B512">
            <v>1995</v>
          </cell>
          <cell r="C512" t="str">
            <v>MARILYN</v>
          </cell>
          <cell r="D512">
            <v>3</v>
          </cell>
          <cell r="E512">
            <v>100</v>
          </cell>
          <cell r="F512">
            <v>949</v>
          </cell>
        </row>
        <row r="513">
          <cell r="A513" t="str">
            <v>AL161995</v>
          </cell>
          <cell r="B513">
            <v>1995</v>
          </cell>
          <cell r="C513" t="str">
            <v>NOEL</v>
          </cell>
          <cell r="D513">
            <v>1</v>
          </cell>
          <cell r="E513">
            <v>65</v>
          </cell>
          <cell r="F513">
            <v>987</v>
          </cell>
        </row>
        <row r="514">
          <cell r="A514" t="str">
            <v>AL171995</v>
          </cell>
          <cell r="B514">
            <v>1995</v>
          </cell>
          <cell r="C514" t="str">
            <v>OPAL</v>
          </cell>
          <cell r="D514">
            <v>4</v>
          </cell>
          <cell r="E514">
            <v>130</v>
          </cell>
          <cell r="F514">
            <v>916</v>
          </cell>
        </row>
        <row r="515">
          <cell r="A515" t="str">
            <v>AL181995</v>
          </cell>
          <cell r="B515">
            <v>1995</v>
          </cell>
          <cell r="C515" t="str">
            <v>PABLO</v>
          </cell>
          <cell r="D515" t="str">
            <v>NA</v>
          </cell>
          <cell r="E515" t="str">
            <v>NA</v>
          </cell>
          <cell r="F515" t="str">
            <v>NA</v>
          </cell>
        </row>
        <row r="516">
          <cell r="A516" t="str">
            <v>AL191995</v>
          </cell>
          <cell r="B516">
            <v>1995</v>
          </cell>
          <cell r="C516" t="str">
            <v>ROXANNE</v>
          </cell>
          <cell r="D516">
            <v>3</v>
          </cell>
          <cell r="E516">
            <v>100</v>
          </cell>
          <cell r="F516">
            <v>956</v>
          </cell>
        </row>
        <row r="517">
          <cell r="A517" t="str">
            <v>AL201995</v>
          </cell>
          <cell r="B517">
            <v>1995</v>
          </cell>
          <cell r="C517" t="str">
            <v>SEBASTIEN</v>
          </cell>
          <cell r="D517" t="str">
            <v>NA</v>
          </cell>
          <cell r="E517" t="str">
            <v>NA</v>
          </cell>
          <cell r="F517" t="str">
            <v>NA</v>
          </cell>
        </row>
        <row r="518">
          <cell r="A518" t="str">
            <v>AL141995</v>
          </cell>
          <cell r="B518">
            <v>1995</v>
          </cell>
          <cell r="C518" t="str">
            <v>STORM 14</v>
          </cell>
          <cell r="D518" t="str">
            <v>NA</v>
          </cell>
          <cell r="E518" t="str">
            <v>NA</v>
          </cell>
          <cell r="F518" t="str">
            <v>NA</v>
          </cell>
        </row>
        <row r="519">
          <cell r="A519" t="str">
            <v>AL061995</v>
          </cell>
          <cell r="B519">
            <v>1995</v>
          </cell>
          <cell r="C519" t="str">
            <v>STORM 6</v>
          </cell>
          <cell r="D519" t="str">
            <v>NA</v>
          </cell>
          <cell r="E519" t="str">
            <v>NA</v>
          </cell>
          <cell r="F519" t="str">
            <v>NA</v>
          </cell>
        </row>
        <row r="520">
          <cell r="A520" t="str">
            <v>AL211995</v>
          </cell>
          <cell r="B520">
            <v>1995</v>
          </cell>
          <cell r="C520" t="str">
            <v>TANYA</v>
          </cell>
          <cell r="D520">
            <v>1</v>
          </cell>
          <cell r="E520">
            <v>75</v>
          </cell>
          <cell r="F520">
            <v>972</v>
          </cell>
        </row>
        <row r="521">
          <cell r="A521" t="str">
            <v>AL011994</v>
          </cell>
          <cell r="B521">
            <v>1994</v>
          </cell>
          <cell r="C521" t="str">
            <v>ALBERTO</v>
          </cell>
          <cell r="D521" t="str">
            <v>NA</v>
          </cell>
          <cell r="E521" t="str">
            <v>NA</v>
          </cell>
          <cell r="F521" t="str">
            <v>NA</v>
          </cell>
        </row>
        <row r="522">
          <cell r="A522" t="str">
            <v>AL031994</v>
          </cell>
          <cell r="B522">
            <v>1994</v>
          </cell>
          <cell r="C522" t="str">
            <v>BERYL</v>
          </cell>
          <cell r="D522" t="str">
            <v>NA</v>
          </cell>
          <cell r="E522" t="str">
            <v>NA</v>
          </cell>
          <cell r="F522" t="str">
            <v>NA</v>
          </cell>
        </row>
        <row r="523">
          <cell r="A523" t="str">
            <v>AL041994</v>
          </cell>
          <cell r="B523">
            <v>1994</v>
          </cell>
          <cell r="C523" t="str">
            <v>CHRIS</v>
          </cell>
          <cell r="D523">
            <v>1</v>
          </cell>
          <cell r="E523">
            <v>70</v>
          </cell>
          <cell r="F523">
            <v>979</v>
          </cell>
        </row>
        <row r="524">
          <cell r="A524" t="str">
            <v>AL061994</v>
          </cell>
          <cell r="B524">
            <v>1994</v>
          </cell>
          <cell r="C524" t="str">
            <v>DEBBY</v>
          </cell>
          <cell r="D524" t="str">
            <v>NA</v>
          </cell>
          <cell r="E524" t="str">
            <v>NA</v>
          </cell>
          <cell r="F524" t="str">
            <v>NA</v>
          </cell>
        </row>
        <row r="525">
          <cell r="A525" t="str">
            <v>AL071994</v>
          </cell>
          <cell r="B525">
            <v>1994</v>
          </cell>
          <cell r="C525" t="str">
            <v>ERNESTO</v>
          </cell>
          <cell r="D525" t="str">
            <v>NA</v>
          </cell>
          <cell r="E525" t="str">
            <v>NA</v>
          </cell>
          <cell r="F525" t="str">
            <v>NA</v>
          </cell>
        </row>
        <row r="526">
          <cell r="A526" t="str">
            <v>AL111994</v>
          </cell>
          <cell r="B526">
            <v>1994</v>
          </cell>
          <cell r="C526" t="str">
            <v>FLORENCE</v>
          </cell>
          <cell r="D526">
            <v>2</v>
          </cell>
          <cell r="E526">
            <v>95</v>
          </cell>
          <cell r="F526">
            <v>972</v>
          </cell>
        </row>
        <row r="527">
          <cell r="A527" t="str">
            <v>AL121994</v>
          </cell>
          <cell r="B527">
            <v>1994</v>
          </cell>
          <cell r="C527" t="str">
            <v>GORDON</v>
          </cell>
          <cell r="D527">
            <v>1</v>
          </cell>
          <cell r="E527">
            <v>75</v>
          </cell>
          <cell r="F527">
            <v>980</v>
          </cell>
        </row>
        <row r="528">
          <cell r="A528" t="str">
            <v>AL101994</v>
          </cell>
          <cell r="B528">
            <v>1994</v>
          </cell>
          <cell r="C528" t="str">
            <v>STORM 10</v>
          </cell>
          <cell r="D528" t="str">
            <v>NA</v>
          </cell>
          <cell r="E528" t="str">
            <v>NA</v>
          </cell>
          <cell r="F528" t="str">
            <v>NA</v>
          </cell>
        </row>
        <row r="529">
          <cell r="A529" t="str">
            <v>AL021994</v>
          </cell>
          <cell r="B529">
            <v>1994</v>
          </cell>
          <cell r="C529" t="str">
            <v>STORM 2</v>
          </cell>
          <cell r="D529" t="str">
            <v>NA</v>
          </cell>
          <cell r="E529" t="str">
            <v>NA</v>
          </cell>
          <cell r="F529" t="str">
            <v>NA</v>
          </cell>
        </row>
        <row r="530">
          <cell r="A530" t="str">
            <v>AL051994</v>
          </cell>
          <cell r="B530">
            <v>1994</v>
          </cell>
          <cell r="C530" t="str">
            <v>STORM 5</v>
          </cell>
          <cell r="D530" t="str">
            <v>NA</v>
          </cell>
          <cell r="E530" t="str">
            <v>NA</v>
          </cell>
          <cell r="F530" t="str">
            <v>NA</v>
          </cell>
        </row>
        <row r="531">
          <cell r="A531" t="str">
            <v>AL081994</v>
          </cell>
          <cell r="B531">
            <v>1994</v>
          </cell>
          <cell r="C531" t="str">
            <v>STORM 8</v>
          </cell>
          <cell r="D531" t="str">
            <v>NA</v>
          </cell>
          <cell r="E531" t="str">
            <v>NA</v>
          </cell>
          <cell r="F531" t="str">
            <v>NA</v>
          </cell>
        </row>
        <row r="532">
          <cell r="A532" t="str">
            <v>AL091994</v>
          </cell>
          <cell r="B532">
            <v>1994</v>
          </cell>
          <cell r="C532" t="str">
            <v>STORM 9</v>
          </cell>
          <cell r="D532" t="str">
            <v>NA</v>
          </cell>
          <cell r="E532" t="str">
            <v>NA</v>
          </cell>
          <cell r="F532" t="str">
            <v>NA</v>
          </cell>
        </row>
        <row r="533">
          <cell r="A533" t="str">
            <v>AL021993</v>
          </cell>
          <cell r="B533">
            <v>1993</v>
          </cell>
          <cell r="C533" t="str">
            <v>ARLENE</v>
          </cell>
          <cell r="D533" t="str">
            <v>NA</v>
          </cell>
          <cell r="E533" t="str">
            <v>NA</v>
          </cell>
          <cell r="F533" t="str">
            <v>NA</v>
          </cell>
        </row>
        <row r="534">
          <cell r="A534" t="str">
            <v>AL031993</v>
          </cell>
          <cell r="B534">
            <v>1993</v>
          </cell>
          <cell r="C534" t="str">
            <v>BRET</v>
          </cell>
          <cell r="D534" t="str">
            <v>NA</v>
          </cell>
          <cell r="E534" t="str">
            <v>NA</v>
          </cell>
          <cell r="F534" t="str">
            <v>NA</v>
          </cell>
        </row>
        <row r="535">
          <cell r="A535" t="str">
            <v>AL041993</v>
          </cell>
          <cell r="B535">
            <v>1993</v>
          </cell>
          <cell r="C535" t="str">
            <v>CINDY</v>
          </cell>
          <cell r="D535" t="str">
            <v>NA</v>
          </cell>
          <cell r="E535" t="str">
            <v>NA</v>
          </cell>
          <cell r="F535" t="str">
            <v>NA</v>
          </cell>
        </row>
        <row r="536">
          <cell r="A536" t="str">
            <v>AL061993</v>
          </cell>
          <cell r="B536">
            <v>1993</v>
          </cell>
          <cell r="C536" t="str">
            <v>DENNIS</v>
          </cell>
          <cell r="D536" t="str">
            <v>NA</v>
          </cell>
          <cell r="E536" t="str">
            <v>NA</v>
          </cell>
          <cell r="F536" t="str">
            <v>NA</v>
          </cell>
        </row>
        <row r="537">
          <cell r="A537" t="str">
            <v>AL051993</v>
          </cell>
          <cell r="B537">
            <v>1993</v>
          </cell>
          <cell r="C537" t="str">
            <v>EMILY</v>
          </cell>
          <cell r="D537">
            <v>3</v>
          </cell>
          <cell r="E537">
            <v>100</v>
          </cell>
          <cell r="F537">
            <v>960</v>
          </cell>
        </row>
        <row r="538">
          <cell r="A538" t="str">
            <v>AL071993</v>
          </cell>
          <cell r="B538">
            <v>1993</v>
          </cell>
          <cell r="C538" t="str">
            <v>FLOYD</v>
          </cell>
          <cell r="D538">
            <v>1</v>
          </cell>
          <cell r="E538">
            <v>65</v>
          </cell>
          <cell r="F538">
            <v>990</v>
          </cell>
        </row>
        <row r="539">
          <cell r="A539" t="str">
            <v>AL081993</v>
          </cell>
          <cell r="B539">
            <v>1993</v>
          </cell>
          <cell r="C539" t="str">
            <v>GERT</v>
          </cell>
          <cell r="D539">
            <v>2</v>
          </cell>
          <cell r="E539">
            <v>85</v>
          </cell>
          <cell r="F539">
            <v>970</v>
          </cell>
        </row>
        <row r="540">
          <cell r="A540" t="str">
            <v>AL091993</v>
          </cell>
          <cell r="B540">
            <v>1993</v>
          </cell>
          <cell r="C540" t="str">
            <v>HARVEY</v>
          </cell>
          <cell r="D540">
            <v>1</v>
          </cell>
          <cell r="E540">
            <v>65</v>
          </cell>
          <cell r="F540">
            <v>990</v>
          </cell>
        </row>
        <row r="541">
          <cell r="A541" t="str">
            <v>AL011993</v>
          </cell>
          <cell r="B541">
            <v>1993</v>
          </cell>
          <cell r="C541" t="str">
            <v>STORM 1</v>
          </cell>
          <cell r="D541" t="str">
            <v>NA</v>
          </cell>
          <cell r="E541" t="str">
            <v>NA</v>
          </cell>
          <cell r="F541" t="str">
            <v>NA</v>
          </cell>
        </row>
        <row r="542">
          <cell r="A542" t="str">
            <v>AL101993</v>
          </cell>
          <cell r="B542">
            <v>1993</v>
          </cell>
          <cell r="C542" t="str">
            <v>STORM 10</v>
          </cell>
          <cell r="D542" t="str">
            <v>NA</v>
          </cell>
          <cell r="E542" t="str">
            <v>NA</v>
          </cell>
          <cell r="F542" t="str">
            <v>NA</v>
          </cell>
        </row>
        <row r="543">
          <cell r="A543" t="str">
            <v>AL041992</v>
          </cell>
          <cell r="B543">
            <v>1992</v>
          </cell>
          <cell r="C543" t="str">
            <v>ANDREW</v>
          </cell>
          <cell r="D543">
            <v>5</v>
          </cell>
          <cell r="E543">
            <v>150</v>
          </cell>
          <cell r="F543">
            <v>922</v>
          </cell>
        </row>
        <row r="544">
          <cell r="A544" t="str">
            <v>AL051992</v>
          </cell>
          <cell r="B544">
            <v>1992</v>
          </cell>
          <cell r="C544" t="str">
            <v>BONNIE</v>
          </cell>
          <cell r="D544">
            <v>2</v>
          </cell>
          <cell r="E544">
            <v>95</v>
          </cell>
          <cell r="F544">
            <v>965</v>
          </cell>
        </row>
        <row r="545">
          <cell r="A545" t="str">
            <v>AL061992</v>
          </cell>
          <cell r="B545">
            <v>1992</v>
          </cell>
          <cell r="C545" t="str">
            <v>CHARLEY</v>
          </cell>
          <cell r="D545">
            <v>2</v>
          </cell>
          <cell r="E545">
            <v>95</v>
          </cell>
          <cell r="F545">
            <v>965</v>
          </cell>
        </row>
        <row r="546">
          <cell r="A546" t="str">
            <v>AL071992</v>
          </cell>
          <cell r="B546">
            <v>1992</v>
          </cell>
          <cell r="C546" t="str">
            <v>DANIELLE</v>
          </cell>
          <cell r="D546" t="str">
            <v>NA</v>
          </cell>
          <cell r="E546" t="str">
            <v>NA</v>
          </cell>
          <cell r="F546" t="str">
            <v>NA</v>
          </cell>
        </row>
        <row r="547">
          <cell r="A547" t="str">
            <v>AL091992</v>
          </cell>
          <cell r="B547">
            <v>1992</v>
          </cell>
          <cell r="C547" t="str">
            <v>EARL</v>
          </cell>
          <cell r="D547" t="str">
            <v>NA</v>
          </cell>
          <cell r="E547" t="str">
            <v>NA</v>
          </cell>
          <cell r="F547" t="str">
            <v>NA</v>
          </cell>
        </row>
        <row r="548">
          <cell r="A548" t="str">
            <v>AL101992</v>
          </cell>
          <cell r="B548">
            <v>1992</v>
          </cell>
          <cell r="C548" t="str">
            <v>FRANCES</v>
          </cell>
          <cell r="D548">
            <v>1</v>
          </cell>
          <cell r="E548">
            <v>75</v>
          </cell>
          <cell r="F548">
            <v>976</v>
          </cell>
        </row>
        <row r="549">
          <cell r="A549" t="str">
            <v>AL011992</v>
          </cell>
          <cell r="B549">
            <v>1992</v>
          </cell>
          <cell r="C549" t="str">
            <v>STORM 1</v>
          </cell>
          <cell r="D549" t="str">
            <v>NA</v>
          </cell>
          <cell r="E549" t="str">
            <v>NA</v>
          </cell>
          <cell r="F549" t="str">
            <v>NA</v>
          </cell>
        </row>
        <row r="550">
          <cell r="A550" t="str">
            <v>AL021992</v>
          </cell>
          <cell r="B550">
            <v>1992</v>
          </cell>
          <cell r="C550" t="str">
            <v>STORM 2</v>
          </cell>
          <cell r="D550" t="str">
            <v>NA</v>
          </cell>
          <cell r="E550" t="str">
            <v>NA</v>
          </cell>
          <cell r="F550" t="str">
            <v>NA</v>
          </cell>
        </row>
        <row r="551">
          <cell r="A551" t="str">
            <v>AL031992</v>
          </cell>
          <cell r="B551">
            <v>1992</v>
          </cell>
          <cell r="C551" t="str">
            <v>STORM 3</v>
          </cell>
          <cell r="D551" t="str">
            <v>NA</v>
          </cell>
          <cell r="E551" t="str">
            <v>NA</v>
          </cell>
          <cell r="F551" t="str">
            <v>NA</v>
          </cell>
        </row>
        <row r="552">
          <cell r="A552" t="str">
            <v>AL081992</v>
          </cell>
          <cell r="B552">
            <v>1992</v>
          </cell>
          <cell r="C552" t="str">
            <v>STORM 8</v>
          </cell>
          <cell r="D552" t="str">
            <v>NA</v>
          </cell>
          <cell r="E552" t="str">
            <v>NA</v>
          </cell>
          <cell r="F552" t="str">
            <v>NA</v>
          </cell>
        </row>
        <row r="553">
          <cell r="A553" t="str">
            <v>AL011991</v>
          </cell>
          <cell r="B553">
            <v>1991</v>
          </cell>
          <cell r="C553" t="str">
            <v>ANA</v>
          </cell>
          <cell r="D553" t="str">
            <v>NA</v>
          </cell>
          <cell r="E553" t="str">
            <v>NA</v>
          </cell>
          <cell r="F553" t="str">
            <v>NA</v>
          </cell>
        </row>
        <row r="554">
          <cell r="A554" t="str">
            <v>AL031991</v>
          </cell>
          <cell r="B554">
            <v>1991</v>
          </cell>
          <cell r="C554" t="str">
            <v>BOB</v>
          </cell>
          <cell r="D554">
            <v>3</v>
          </cell>
          <cell r="E554">
            <v>100</v>
          </cell>
          <cell r="F554">
            <v>950</v>
          </cell>
        </row>
        <row r="555">
          <cell r="A555" t="str">
            <v>AL061991</v>
          </cell>
          <cell r="B555">
            <v>1991</v>
          </cell>
          <cell r="C555" t="str">
            <v>CLAUDETTE</v>
          </cell>
          <cell r="D555">
            <v>4</v>
          </cell>
          <cell r="E555">
            <v>115</v>
          </cell>
          <cell r="F555">
            <v>944</v>
          </cell>
        </row>
        <row r="556">
          <cell r="A556" t="str">
            <v>AL071991</v>
          </cell>
          <cell r="B556">
            <v>1991</v>
          </cell>
          <cell r="C556" t="str">
            <v>DANNY</v>
          </cell>
          <cell r="D556" t="str">
            <v>NA</v>
          </cell>
          <cell r="E556" t="str">
            <v>NA</v>
          </cell>
          <cell r="F556" t="str">
            <v>NA</v>
          </cell>
        </row>
        <row r="557">
          <cell r="A557" t="str">
            <v>AL081991</v>
          </cell>
          <cell r="B557">
            <v>1991</v>
          </cell>
          <cell r="C557" t="str">
            <v>ERIKA</v>
          </cell>
          <cell r="D557" t="str">
            <v>NA</v>
          </cell>
          <cell r="E557" t="str">
            <v>NA</v>
          </cell>
          <cell r="F557" t="str">
            <v>NA</v>
          </cell>
        </row>
        <row r="558">
          <cell r="A558" t="str">
            <v>AL091991</v>
          </cell>
          <cell r="B558">
            <v>1991</v>
          </cell>
          <cell r="C558" t="str">
            <v>FABIAN</v>
          </cell>
          <cell r="D558" t="str">
            <v>NA</v>
          </cell>
          <cell r="E558" t="str">
            <v>NA</v>
          </cell>
          <cell r="F558" t="str">
            <v>NA</v>
          </cell>
        </row>
        <row r="559">
          <cell r="A559" t="str">
            <v>AL111991</v>
          </cell>
          <cell r="B559">
            <v>1991</v>
          </cell>
          <cell r="C559" t="str">
            <v>GRACE</v>
          </cell>
          <cell r="D559">
            <v>2</v>
          </cell>
          <cell r="E559">
            <v>90</v>
          </cell>
          <cell r="F559">
            <v>980</v>
          </cell>
        </row>
        <row r="560">
          <cell r="A560" t="str">
            <v>AL101991</v>
          </cell>
          <cell r="B560">
            <v>1991</v>
          </cell>
          <cell r="C560" t="str">
            <v>STORM 10</v>
          </cell>
          <cell r="D560" t="str">
            <v>NA</v>
          </cell>
          <cell r="E560" t="str">
            <v>NA</v>
          </cell>
          <cell r="F560" t="str">
            <v>NA</v>
          </cell>
        </row>
        <row r="561">
          <cell r="A561" t="str">
            <v>AL121991</v>
          </cell>
          <cell r="B561">
            <v>1991</v>
          </cell>
          <cell r="C561" t="str">
            <v>STORM 12</v>
          </cell>
          <cell r="D561">
            <v>1</v>
          </cell>
          <cell r="E561">
            <v>65</v>
          </cell>
          <cell r="F561">
            <v>980</v>
          </cell>
        </row>
        <row r="562">
          <cell r="A562" t="str">
            <v>AL021991</v>
          </cell>
          <cell r="B562">
            <v>1991</v>
          </cell>
          <cell r="C562" t="str">
            <v>STORM 2</v>
          </cell>
          <cell r="D562" t="str">
            <v>NA</v>
          </cell>
          <cell r="E562" t="str">
            <v>NA</v>
          </cell>
          <cell r="F562" t="str">
            <v>NA</v>
          </cell>
        </row>
        <row r="563">
          <cell r="A563" t="str">
            <v>AL041991</v>
          </cell>
          <cell r="B563">
            <v>1991</v>
          </cell>
          <cell r="C563" t="str">
            <v>STORM 4</v>
          </cell>
          <cell r="D563" t="str">
            <v>NA</v>
          </cell>
          <cell r="E563" t="str">
            <v>NA</v>
          </cell>
          <cell r="F563" t="str">
            <v>NA</v>
          </cell>
        </row>
        <row r="564">
          <cell r="A564" t="str">
            <v>AL051991</v>
          </cell>
          <cell r="B564">
            <v>1991</v>
          </cell>
          <cell r="C564" t="str">
            <v>STORM 5</v>
          </cell>
          <cell r="D564" t="str">
            <v>NA</v>
          </cell>
          <cell r="E564" t="str">
            <v>NA</v>
          </cell>
          <cell r="F564" t="str">
            <v>NA</v>
          </cell>
        </row>
        <row r="565">
          <cell r="A565" t="str">
            <v>AL021990</v>
          </cell>
          <cell r="B565">
            <v>1990</v>
          </cell>
          <cell r="C565" t="str">
            <v>ARTHUR</v>
          </cell>
          <cell r="D565" t="str">
            <v>NA</v>
          </cell>
          <cell r="E565" t="str">
            <v>NA</v>
          </cell>
          <cell r="F565" t="str">
            <v>NA</v>
          </cell>
        </row>
        <row r="566">
          <cell r="A566" t="str">
            <v>AL031990</v>
          </cell>
          <cell r="B566">
            <v>1990</v>
          </cell>
          <cell r="C566" t="str">
            <v>BERTHA</v>
          </cell>
          <cell r="D566">
            <v>1</v>
          </cell>
          <cell r="E566">
            <v>70</v>
          </cell>
          <cell r="F566">
            <v>973</v>
          </cell>
        </row>
        <row r="567">
          <cell r="A567" t="str">
            <v>AL041990</v>
          </cell>
          <cell r="B567">
            <v>1990</v>
          </cell>
          <cell r="C567" t="str">
            <v>CESAR</v>
          </cell>
          <cell r="D567" t="str">
            <v>NA</v>
          </cell>
          <cell r="E567" t="str">
            <v>NA</v>
          </cell>
          <cell r="F567" t="str">
            <v>NA</v>
          </cell>
        </row>
        <row r="568">
          <cell r="A568" t="str">
            <v>AL051990</v>
          </cell>
          <cell r="B568">
            <v>1990</v>
          </cell>
          <cell r="C568" t="str">
            <v>DIANA</v>
          </cell>
          <cell r="D568">
            <v>2</v>
          </cell>
          <cell r="E568">
            <v>85</v>
          </cell>
          <cell r="F568">
            <v>980</v>
          </cell>
        </row>
        <row r="569">
          <cell r="A569" t="str">
            <v>AL061990</v>
          </cell>
          <cell r="B569">
            <v>1990</v>
          </cell>
          <cell r="C569" t="str">
            <v>EDOUARD</v>
          </cell>
          <cell r="D569" t="str">
            <v>NA</v>
          </cell>
          <cell r="E569" t="str">
            <v>NA</v>
          </cell>
          <cell r="F569" t="str">
            <v>NA</v>
          </cell>
        </row>
        <row r="570">
          <cell r="A570" t="str">
            <v>AL071990</v>
          </cell>
          <cell r="B570">
            <v>1990</v>
          </cell>
          <cell r="C570" t="str">
            <v>FRAN</v>
          </cell>
          <cell r="D570" t="str">
            <v>NA</v>
          </cell>
          <cell r="E570" t="str">
            <v>NA</v>
          </cell>
          <cell r="F570" t="str">
            <v>NA</v>
          </cell>
        </row>
        <row r="571">
          <cell r="A571" t="str">
            <v>AL081990</v>
          </cell>
          <cell r="B571">
            <v>1990</v>
          </cell>
          <cell r="C571" t="str">
            <v>GUSTAV</v>
          </cell>
          <cell r="D571">
            <v>3</v>
          </cell>
          <cell r="E571">
            <v>105</v>
          </cell>
          <cell r="F571">
            <v>956</v>
          </cell>
        </row>
        <row r="572">
          <cell r="A572" t="str">
            <v>AL091990</v>
          </cell>
          <cell r="B572">
            <v>1990</v>
          </cell>
          <cell r="C572" t="str">
            <v>HORTENSE</v>
          </cell>
          <cell r="D572" t="str">
            <v>NA</v>
          </cell>
          <cell r="E572" t="str">
            <v>NA</v>
          </cell>
          <cell r="F572" t="str">
            <v>NA</v>
          </cell>
        </row>
        <row r="573">
          <cell r="A573" t="str">
            <v>AL101990</v>
          </cell>
          <cell r="B573">
            <v>1990</v>
          </cell>
          <cell r="C573" t="str">
            <v>ISIDORE</v>
          </cell>
          <cell r="D573">
            <v>2</v>
          </cell>
          <cell r="E573">
            <v>85</v>
          </cell>
          <cell r="F573">
            <v>978</v>
          </cell>
        </row>
        <row r="574">
          <cell r="A574" t="str">
            <v>AL121990</v>
          </cell>
          <cell r="B574">
            <v>1990</v>
          </cell>
          <cell r="C574" t="str">
            <v>JOSEPHINE</v>
          </cell>
          <cell r="D574">
            <v>1</v>
          </cell>
          <cell r="E574">
            <v>75</v>
          </cell>
          <cell r="F574">
            <v>980</v>
          </cell>
        </row>
        <row r="575">
          <cell r="A575" t="str">
            <v>AL131990</v>
          </cell>
          <cell r="B575">
            <v>1990</v>
          </cell>
          <cell r="C575" t="str">
            <v>KLAUS</v>
          </cell>
          <cell r="D575">
            <v>1</v>
          </cell>
          <cell r="E575">
            <v>70</v>
          </cell>
          <cell r="F575">
            <v>985</v>
          </cell>
        </row>
        <row r="576">
          <cell r="A576" t="str">
            <v>AL141990</v>
          </cell>
          <cell r="B576">
            <v>1990</v>
          </cell>
          <cell r="C576" t="str">
            <v>LILI</v>
          </cell>
          <cell r="D576">
            <v>1</v>
          </cell>
          <cell r="E576">
            <v>65</v>
          </cell>
          <cell r="F576">
            <v>987</v>
          </cell>
        </row>
        <row r="577">
          <cell r="A577" t="str">
            <v>AL151990</v>
          </cell>
          <cell r="B577">
            <v>1990</v>
          </cell>
          <cell r="C577" t="str">
            <v>MARCO</v>
          </cell>
          <cell r="D577" t="str">
            <v>NA</v>
          </cell>
          <cell r="E577" t="str">
            <v>NA</v>
          </cell>
          <cell r="F577" t="str">
            <v>NA</v>
          </cell>
        </row>
        <row r="578">
          <cell r="A578" t="str">
            <v>AL161990</v>
          </cell>
          <cell r="B578">
            <v>1990</v>
          </cell>
          <cell r="C578" t="str">
            <v>NANA</v>
          </cell>
          <cell r="D578">
            <v>1</v>
          </cell>
          <cell r="E578">
            <v>75</v>
          </cell>
          <cell r="F578">
            <v>989</v>
          </cell>
        </row>
        <row r="579">
          <cell r="A579" t="str">
            <v>AL011990</v>
          </cell>
          <cell r="B579">
            <v>1990</v>
          </cell>
          <cell r="C579" t="str">
            <v>STORM 1</v>
          </cell>
          <cell r="D579" t="str">
            <v>NA</v>
          </cell>
          <cell r="E579" t="str">
            <v>NA</v>
          </cell>
          <cell r="F579" t="str">
            <v>NA</v>
          </cell>
        </row>
        <row r="580">
          <cell r="A580" t="str">
            <v>AL111990</v>
          </cell>
          <cell r="B580">
            <v>1990</v>
          </cell>
          <cell r="C580" t="str">
            <v>STORM 11</v>
          </cell>
          <cell r="D580" t="str">
            <v>NA</v>
          </cell>
          <cell r="E580" t="str">
            <v>NA</v>
          </cell>
          <cell r="F580" t="str">
            <v>NA</v>
          </cell>
        </row>
        <row r="581">
          <cell r="A581" t="str">
            <v>AL021989</v>
          </cell>
          <cell r="B581">
            <v>1989</v>
          </cell>
          <cell r="C581" t="str">
            <v>ALLISON</v>
          </cell>
          <cell r="D581" t="str">
            <v>NA</v>
          </cell>
          <cell r="E581" t="str">
            <v>NA</v>
          </cell>
          <cell r="F581" t="str">
            <v>NA</v>
          </cell>
        </row>
        <row r="582">
          <cell r="A582" t="str">
            <v>AL031989</v>
          </cell>
          <cell r="B582">
            <v>1989</v>
          </cell>
          <cell r="C582" t="str">
            <v>BARRY</v>
          </cell>
          <cell r="D582" t="str">
            <v>NA</v>
          </cell>
          <cell r="E582" t="str">
            <v>NA</v>
          </cell>
          <cell r="F582" t="str">
            <v>NA</v>
          </cell>
        </row>
        <row r="583">
          <cell r="A583" t="str">
            <v>AL041989</v>
          </cell>
          <cell r="B583">
            <v>1989</v>
          </cell>
          <cell r="C583" t="str">
            <v>CHANTAL</v>
          </cell>
          <cell r="D583">
            <v>1</v>
          </cell>
          <cell r="E583">
            <v>70</v>
          </cell>
          <cell r="F583">
            <v>984</v>
          </cell>
        </row>
        <row r="584">
          <cell r="A584" t="str">
            <v>AL051989</v>
          </cell>
          <cell r="B584">
            <v>1989</v>
          </cell>
          <cell r="C584" t="str">
            <v>DEAN</v>
          </cell>
          <cell r="D584">
            <v>2</v>
          </cell>
          <cell r="E584">
            <v>90</v>
          </cell>
          <cell r="F584">
            <v>968</v>
          </cell>
        </row>
        <row r="585">
          <cell r="A585" t="str">
            <v>AL071989</v>
          </cell>
          <cell r="B585">
            <v>1989</v>
          </cell>
          <cell r="C585" t="str">
            <v>ERIN</v>
          </cell>
          <cell r="D585">
            <v>2</v>
          </cell>
          <cell r="E585">
            <v>90</v>
          </cell>
          <cell r="F585">
            <v>968</v>
          </cell>
        </row>
        <row r="586">
          <cell r="A586" t="str">
            <v>AL081989</v>
          </cell>
          <cell r="B586">
            <v>1989</v>
          </cell>
          <cell r="C586" t="str">
            <v>FELIX</v>
          </cell>
          <cell r="D586">
            <v>1</v>
          </cell>
          <cell r="E586">
            <v>75</v>
          </cell>
          <cell r="F586">
            <v>979</v>
          </cell>
        </row>
        <row r="587">
          <cell r="A587" t="str">
            <v>AL101989</v>
          </cell>
          <cell r="B587">
            <v>1989</v>
          </cell>
          <cell r="C587" t="str">
            <v>GABRIELLE</v>
          </cell>
          <cell r="D587">
            <v>4</v>
          </cell>
          <cell r="E587">
            <v>125</v>
          </cell>
          <cell r="F587">
            <v>935</v>
          </cell>
        </row>
        <row r="588">
          <cell r="A588" t="str">
            <v>AL111989</v>
          </cell>
          <cell r="B588">
            <v>1989</v>
          </cell>
          <cell r="C588" t="str">
            <v>HUGO</v>
          </cell>
          <cell r="D588">
            <v>5</v>
          </cell>
          <cell r="E588">
            <v>140</v>
          </cell>
          <cell r="F588">
            <v>918</v>
          </cell>
        </row>
        <row r="589">
          <cell r="A589" t="str">
            <v>AL121989</v>
          </cell>
          <cell r="B589">
            <v>1989</v>
          </cell>
          <cell r="C589" t="str">
            <v>IRIS</v>
          </cell>
          <cell r="D589" t="str">
            <v>NA</v>
          </cell>
          <cell r="E589" t="str">
            <v>NA</v>
          </cell>
          <cell r="F589" t="str">
            <v>NA</v>
          </cell>
        </row>
        <row r="590">
          <cell r="A590" t="str">
            <v>AL141989</v>
          </cell>
          <cell r="B590">
            <v>1989</v>
          </cell>
          <cell r="C590" t="str">
            <v>JERRY</v>
          </cell>
          <cell r="D590">
            <v>1</v>
          </cell>
          <cell r="E590">
            <v>75</v>
          </cell>
          <cell r="F590">
            <v>982</v>
          </cell>
        </row>
        <row r="591">
          <cell r="A591" t="str">
            <v>AL151989</v>
          </cell>
          <cell r="B591">
            <v>1989</v>
          </cell>
          <cell r="C591" t="str">
            <v>KAREN</v>
          </cell>
          <cell r="D591" t="str">
            <v>NA</v>
          </cell>
          <cell r="E591" t="str">
            <v>NA</v>
          </cell>
          <cell r="F591" t="str">
            <v>NA</v>
          </cell>
        </row>
        <row r="592">
          <cell r="A592" t="str">
            <v>AL011989</v>
          </cell>
          <cell r="B592">
            <v>1989</v>
          </cell>
          <cell r="C592" t="str">
            <v>STORM 1</v>
          </cell>
          <cell r="D592" t="str">
            <v>NA</v>
          </cell>
          <cell r="E592" t="str">
            <v>NA</v>
          </cell>
          <cell r="F592" t="str">
            <v>NA</v>
          </cell>
        </row>
        <row r="593">
          <cell r="A593" t="str">
            <v>AL131989</v>
          </cell>
          <cell r="B593">
            <v>1989</v>
          </cell>
          <cell r="C593" t="str">
            <v>STORM 13</v>
          </cell>
          <cell r="D593" t="str">
            <v>NA</v>
          </cell>
          <cell r="E593" t="str">
            <v>NA</v>
          </cell>
          <cell r="F593" t="str">
            <v>NA</v>
          </cell>
        </row>
        <row r="594">
          <cell r="A594" t="str">
            <v>AL061989</v>
          </cell>
          <cell r="B594">
            <v>1989</v>
          </cell>
          <cell r="C594" t="str">
            <v>STORM 6</v>
          </cell>
          <cell r="D594" t="str">
            <v>NA</v>
          </cell>
          <cell r="E594" t="str">
            <v>NA</v>
          </cell>
          <cell r="F594" t="str">
            <v>NA</v>
          </cell>
        </row>
        <row r="595">
          <cell r="A595" t="str">
            <v>AL091989</v>
          </cell>
          <cell r="B595">
            <v>1989</v>
          </cell>
          <cell r="C595" t="str">
            <v>STORM 9</v>
          </cell>
          <cell r="D595" t="str">
            <v>NA</v>
          </cell>
          <cell r="E595" t="str">
            <v>NA</v>
          </cell>
          <cell r="F595" t="str">
            <v>NA</v>
          </cell>
        </row>
        <row r="596">
          <cell r="A596" t="str">
            <v>AL011988</v>
          </cell>
          <cell r="B596">
            <v>1988</v>
          </cell>
          <cell r="C596" t="str">
            <v>ALBERTO</v>
          </cell>
          <cell r="D596" t="str">
            <v>NA</v>
          </cell>
          <cell r="E596" t="str">
            <v>NA</v>
          </cell>
          <cell r="F596" t="str">
            <v>NA</v>
          </cell>
        </row>
        <row r="597">
          <cell r="A597" t="str">
            <v>AL021988</v>
          </cell>
          <cell r="B597">
            <v>1988</v>
          </cell>
          <cell r="C597" t="str">
            <v>BERYL</v>
          </cell>
          <cell r="D597" t="str">
            <v>NA</v>
          </cell>
          <cell r="E597" t="str">
            <v>NA</v>
          </cell>
          <cell r="F597" t="str">
            <v>NA</v>
          </cell>
        </row>
        <row r="598">
          <cell r="A598" t="str">
            <v>AL031988</v>
          </cell>
          <cell r="B598">
            <v>1988</v>
          </cell>
          <cell r="C598" t="str">
            <v>CHRIS</v>
          </cell>
          <cell r="D598" t="str">
            <v>NA</v>
          </cell>
          <cell r="E598" t="str">
            <v>NA</v>
          </cell>
          <cell r="F598" t="str">
            <v>NA</v>
          </cell>
        </row>
        <row r="599">
          <cell r="A599" t="str">
            <v>AL041988</v>
          </cell>
          <cell r="B599">
            <v>1988</v>
          </cell>
          <cell r="C599" t="str">
            <v>DEBBY</v>
          </cell>
          <cell r="D599">
            <v>1</v>
          </cell>
          <cell r="E599">
            <v>65</v>
          </cell>
          <cell r="F599">
            <v>987</v>
          </cell>
        </row>
        <row r="600">
          <cell r="A600" t="str">
            <v>AL051988</v>
          </cell>
          <cell r="B600">
            <v>1988</v>
          </cell>
          <cell r="C600" t="str">
            <v>ERNESTO</v>
          </cell>
          <cell r="D600" t="str">
            <v>NA</v>
          </cell>
          <cell r="E600" t="str">
            <v>NA</v>
          </cell>
          <cell r="F600" t="str">
            <v>NA</v>
          </cell>
        </row>
        <row r="601">
          <cell r="A601" t="str">
            <v>AL071988</v>
          </cell>
          <cell r="B601">
            <v>1988</v>
          </cell>
          <cell r="C601" t="str">
            <v>FLORENCE</v>
          </cell>
          <cell r="D601">
            <v>1</v>
          </cell>
          <cell r="E601">
            <v>70</v>
          </cell>
          <cell r="F601">
            <v>982</v>
          </cell>
        </row>
        <row r="602">
          <cell r="A602" t="str">
            <v>AL081988</v>
          </cell>
          <cell r="B602">
            <v>1988</v>
          </cell>
          <cell r="C602" t="str">
            <v>GILBERT</v>
          </cell>
          <cell r="D602">
            <v>5</v>
          </cell>
          <cell r="E602">
            <v>160</v>
          </cell>
          <cell r="F602">
            <v>888</v>
          </cell>
        </row>
        <row r="603">
          <cell r="A603" t="str">
            <v>AL091988</v>
          </cell>
          <cell r="B603">
            <v>1988</v>
          </cell>
          <cell r="C603" t="str">
            <v>HELENE</v>
          </cell>
          <cell r="D603">
            <v>4</v>
          </cell>
          <cell r="E603">
            <v>125</v>
          </cell>
          <cell r="F603">
            <v>938</v>
          </cell>
        </row>
        <row r="604">
          <cell r="A604" t="str">
            <v>AL101988</v>
          </cell>
          <cell r="B604">
            <v>1988</v>
          </cell>
          <cell r="C604" t="str">
            <v>ISAAC</v>
          </cell>
          <cell r="D604" t="str">
            <v>NA</v>
          </cell>
          <cell r="E604" t="str">
            <v>NA</v>
          </cell>
          <cell r="F604" t="str">
            <v>NA</v>
          </cell>
        </row>
        <row r="605">
          <cell r="A605" t="str">
            <v>AL111988</v>
          </cell>
          <cell r="B605">
            <v>1988</v>
          </cell>
          <cell r="C605" t="str">
            <v>JOAN</v>
          </cell>
          <cell r="D605">
            <v>4</v>
          </cell>
          <cell r="E605">
            <v>125</v>
          </cell>
          <cell r="F605">
            <v>932</v>
          </cell>
        </row>
        <row r="606">
          <cell r="A606" t="str">
            <v>AL121988</v>
          </cell>
          <cell r="B606">
            <v>1988</v>
          </cell>
          <cell r="C606" t="str">
            <v>KEITH</v>
          </cell>
          <cell r="D606" t="str">
            <v>NA</v>
          </cell>
          <cell r="E606" t="str">
            <v>NA</v>
          </cell>
          <cell r="F606" t="str">
            <v>NA</v>
          </cell>
        </row>
        <row r="607">
          <cell r="A607" t="str">
            <v>AL131988</v>
          </cell>
          <cell r="B607">
            <v>1988</v>
          </cell>
          <cell r="C607" t="str">
            <v>STORM 13</v>
          </cell>
          <cell r="D607" t="str">
            <v>NA</v>
          </cell>
          <cell r="E607" t="str">
            <v>NA</v>
          </cell>
          <cell r="F607" t="str">
            <v>NA</v>
          </cell>
        </row>
        <row r="608">
          <cell r="A608" t="str">
            <v>AL141988</v>
          </cell>
          <cell r="B608">
            <v>1988</v>
          </cell>
          <cell r="C608" t="str">
            <v>STORM 14</v>
          </cell>
          <cell r="D608" t="str">
            <v>NA</v>
          </cell>
          <cell r="E608" t="str">
            <v>NA</v>
          </cell>
          <cell r="F608" t="str">
            <v>NA</v>
          </cell>
        </row>
        <row r="609">
          <cell r="A609" t="str">
            <v>AL151988</v>
          </cell>
          <cell r="B609">
            <v>1988</v>
          </cell>
          <cell r="C609" t="str">
            <v>STORM 15</v>
          </cell>
          <cell r="D609" t="str">
            <v>NA</v>
          </cell>
          <cell r="E609" t="str">
            <v>NA</v>
          </cell>
          <cell r="F609" t="str">
            <v>NA</v>
          </cell>
        </row>
        <row r="610">
          <cell r="A610" t="str">
            <v>AL161988</v>
          </cell>
          <cell r="B610">
            <v>1988</v>
          </cell>
          <cell r="C610" t="str">
            <v>STORM 16</v>
          </cell>
          <cell r="D610" t="str">
            <v>NA</v>
          </cell>
          <cell r="E610" t="str">
            <v>NA</v>
          </cell>
          <cell r="F610" t="str">
            <v>NA</v>
          </cell>
        </row>
        <row r="611">
          <cell r="A611" t="str">
            <v>AL171988</v>
          </cell>
          <cell r="B611">
            <v>1988</v>
          </cell>
          <cell r="C611" t="str">
            <v>STORM 17</v>
          </cell>
          <cell r="D611" t="str">
            <v>NA</v>
          </cell>
          <cell r="E611" t="str">
            <v>NA</v>
          </cell>
          <cell r="F611" t="str">
            <v>NA</v>
          </cell>
        </row>
        <row r="612">
          <cell r="A612" t="str">
            <v>AL181988</v>
          </cell>
          <cell r="B612">
            <v>1988</v>
          </cell>
          <cell r="C612" t="str">
            <v>STORM 18</v>
          </cell>
          <cell r="D612" t="str">
            <v>NA</v>
          </cell>
          <cell r="E612" t="str">
            <v>NA</v>
          </cell>
          <cell r="F612" t="str">
            <v>NA</v>
          </cell>
        </row>
        <row r="613">
          <cell r="A613" t="str">
            <v>AL191988</v>
          </cell>
          <cell r="B613">
            <v>1988</v>
          </cell>
          <cell r="C613" t="str">
            <v>STORM 19</v>
          </cell>
          <cell r="D613" t="str">
            <v>NA</v>
          </cell>
          <cell r="E613" t="str">
            <v>NA</v>
          </cell>
          <cell r="F613" t="str">
            <v>NA</v>
          </cell>
        </row>
        <row r="614">
          <cell r="A614" t="str">
            <v>AL061988</v>
          </cell>
          <cell r="B614">
            <v>1988</v>
          </cell>
          <cell r="C614" t="str">
            <v>STORM 6</v>
          </cell>
          <cell r="D614" t="str">
            <v>NA</v>
          </cell>
          <cell r="E614" t="str">
            <v>NA</v>
          </cell>
          <cell r="F614" t="str">
            <v>NA</v>
          </cell>
        </row>
        <row r="615">
          <cell r="A615" t="str">
            <v>AL021987</v>
          </cell>
          <cell r="B615">
            <v>1987</v>
          </cell>
          <cell r="C615" t="str">
            <v>ARLENE</v>
          </cell>
          <cell r="D615">
            <v>1</v>
          </cell>
          <cell r="E615">
            <v>65</v>
          </cell>
          <cell r="F615">
            <v>987</v>
          </cell>
        </row>
        <row r="616">
          <cell r="A616" t="str">
            <v>AL051987</v>
          </cell>
          <cell r="B616">
            <v>1987</v>
          </cell>
          <cell r="C616" t="str">
            <v>BRET</v>
          </cell>
          <cell r="D616" t="str">
            <v>NA</v>
          </cell>
          <cell r="E616" t="str">
            <v>NA</v>
          </cell>
          <cell r="F616" t="str">
            <v>NA</v>
          </cell>
        </row>
        <row r="617">
          <cell r="A617" t="str">
            <v>AL071987</v>
          </cell>
          <cell r="B617">
            <v>1987</v>
          </cell>
          <cell r="C617" t="str">
            <v>CINDY</v>
          </cell>
          <cell r="D617" t="str">
            <v>NA</v>
          </cell>
          <cell r="E617" t="str">
            <v>NA</v>
          </cell>
          <cell r="F617" t="str">
            <v>NA</v>
          </cell>
        </row>
        <row r="618">
          <cell r="A618" t="str">
            <v>AL101987</v>
          </cell>
          <cell r="B618">
            <v>1987</v>
          </cell>
          <cell r="C618" t="str">
            <v>DENNIS</v>
          </cell>
          <cell r="D618" t="str">
            <v>NA</v>
          </cell>
          <cell r="E618" t="str">
            <v>NA</v>
          </cell>
          <cell r="F618" t="str">
            <v>NA</v>
          </cell>
        </row>
        <row r="619">
          <cell r="A619" t="str">
            <v>AL121987</v>
          </cell>
          <cell r="B619">
            <v>1987</v>
          </cell>
          <cell r="C619" t="str">
            <v>EMILY</v>
          </cell>
          <cell r="D619">
            <v>3</v>
          </cell>
          <cell r="E619">
            <v>110</v>
          </cell>
          <cell r="F619">
            <v>958</v>
          </cell>
        </row>
        <row r="620">
          <cell r="A620" t="str">
            <v>AL131987</v>
          </cell>
          <cell r="B620">
            <v>1987</v>
          </cell>
          <cell r="C620" t="str">
            <v>FLOYD</v>
          </cell>
          <cell r="D620">
            <v>1</v>
          </cell>
          <cell r="E620">
            <v>65</v>
          </cell>
          <cell r="F620">
            <v>993</v>
          </cell>
        </row>
        <row r="621">
          <cell r="A621" t="str">
            <v>AL011987</v>
          </cell>
          <cell r="B621">
            <v>1987</v>
          </cell>
          <cell r="C621" t="str">
            <v>STORM 1</v>
          </cell>
          <cell r="D621" t="str">
            <v>NA</v>
          </cell>
          <cell r="E621" t="str">
            <v>NA</v>
          </cell>
          <cell r="F621" t="str">
            <v>NA</v>
          </cell>
        </row>
        <row r="622">
          <cell r="A622" t="str">
            <v>AL111987</v>
          </cell>
          <cell r="B622">
            <v>1987</v>
          </cell>
          <cell r="C622" t="str">
            <v>STORM 11</v>
          </cell>
          <cell r="D622" t="str">
            <v>NA</v>
          </cell>
          <cell r="E622" t="str">
            <v>NA</v>
          </cell>
          <cell r="F622" t="str">
            <v>NA</v>
          </cell>
        </row>
        <row r="623">
          <cell r="A623" t="str">
            <v>AL141987</v>
          </cell>
          <cell r="B623">
            <v>1987</v>
          </cell>
          <cell r="C623" t="str">
            <v>STORM 14</v>
          </cell>
          <cell r="D623" t="str">
            <v>NA</v>
          </cell>
          <cell r="E623" t="str">
            <v>NA</v>
          </cell>
          <cell r="F623" t="str">
            <v>NA</v>
          </cell>
        </row>
        <row r="624">
          <cell r="A624" t="str">
            <v>AL031987</v>
          </cell>
          <cell r="B624">
            <v>1987</v>
          </cell>
          <cell r="C624" t="str">
            <v>STORM 3</v>
          </cell>
          <cell r="D624" t="str">
            <v>NA</v>
          </cell>
          <cell r="E624" t="str">
            <v>NA</v>
          </cell>
          <cell r="F624" t="str">
            <v>NA</v>
          </cell>
        </row>
        <row r="625">
          <cell r="A625" t="str">
            <v>AL041987</v>
          </cell>
          <cell r="B625">
            <v>1987</v>
          </cell>
          <cell r="C625" t="str">
            <v>STORM 4</v>
          </cell>
          <cell r="D625" t="str">
            <v>NA</v>
          </cell>
          <cell r="E625" t="str">
            <v>NA</v>
          </cell>
          <cell r="F625" t="str">
            <v>NA</v>
          </cell>
        </row>
        <row r="626">
          <cell r="A626" t="str">
            <v>AL061987</v>
          </cell>
          <cell r="B626">
            <v>1987</v>
          </cell>
          <cell r="C626" t="str">
            <v>STORM 6</v>
          </cell>
          <cell r="D626" t="str">
            <v>NA</v>
          </cell>
          <cell r="E626" t="str">
            <v>NA</v>
          </cell>
          <cell r="F626" t="str">
            <v>NA</v>
          </cell>
        </row>
        <row r="627">
          <cell r="A627" t="str">
            <v>AL081987</v>
          </cell>
          <cell r="B627">
            <v>1987</v>
          </cell>
          <cell r="C627" t="str">
            <v>STORM 8</v>
          </cell>
          <cell r="D627" t="str">
            <v>NA</v>
          </cell>
          <cell r="E627" t="str">
            <v>NA</v>
          </cell>
          <cell r="F627" t="str">
            <v>NA</v>
          </cell>
        </row>
        <row r="628">
          <cell r="A628" t="str">
            <v>AL091987</v>
          </cell>
          <cell r="B628">
            <v>1987</v>
          </cell>
          <cell r="C628" t="str">
            <v>STORM 9</v>
          </cell>
          <cell r="D628" t="str">
            <v>NA</v>
          </cell>
          <cell r="E628" t="str">
            <v>NA</v>
          </cell>
          <cell r="F628" t="str">
            <v>NA</v>
          </cell>
        </row>
        <row r="629">
          <cell r="A629" t="str">
            <v>AL011986</v>
          </cell>
          <cell r="B629">
            <v>1986</v>
          </cell>
          <cell r="C629" t="str">
            <v>ANDREW</v>
          </cell>
          <cell r="D629" t="str">
            <v>NA</v>
          </cell>
          <cell r="E629" t="str">
            <v>NA</v>
          </cell>
          <cell r="F629" t="str">
            <v>NA</v>
          </cell>
        </row>
        <row r="630">
          <cell r="A630" t="str">
            <v>AL021986</v>
          </cell>
          <cell r="B630">
            <v>1986</v>
          </cell>
          <cell r="C630" t="str">
            <v>BONNIE</v>
          </cell>
          <cell r="D630">
            <v>1</v>
          </cell>
          <cell r="E630">
            <v>75</v>
          </cell>
          <cell r="F630">
            <v>990</v>
          </cell>
        </row>
        <row r="631">
          <cell r="A631" t="str">
            <v>AL051986</v>
          </cell>
          <cell r="B631">
            <v>1986</v>
          </cell>
          <cell r="C631" t="str">
            <v>CHARLEY</v>
          </cell>
          <cell r="D631">
            <v>1</v>
          </cell>
          <cell r="E631">
            <v>70</v>
          </cell>
          <cell r="F631">
            <v>987</v>
          </cell>
        </row>
        <row r="632">
          <cell r="A632" t="str">
            <v>AL081986</v>
          </cell>
          <cell r="B632">
            <v>1986</v>
          </cell>
          <cell r="C632" t="str">
            <v>DANIELLE</v>
          </cell>
          <cell r="D632" t="str">
            <v>NA</v>
          </cell>
          <cell r="E632" t="str">
            <v>NA</v>
          </cell>
          <cell r="F632" t="str">
            <v>NA</v>
          </cell>
        </row>
        <row r="633">
          <cell r="A633" t="str">
            <v>AL091986</v>
          </cell>
          <cell r="B633">
            <v>1986</v>
          </cell>
          <cell r="C633" t="str">
            <v>EARL</v>
          </cell>
          <cell r="D633">
            <v>2</v>
          </cell>
          <cell r="E633">
            <v>90</v>
          </cell>
          <cell r="F633">
            <v>979</v>
          </cell>
        </row>
        <row r="634">
          <cell r="A634" t="str">
            <v>AL101986</v>
          </cell>
          <cell r="B634">
            <v>1986</v>
          </cell>
          <cell r="C634" t="str">
            <v>FRANCES</v>
          </cell>
          <cell r="D634">
            <v>1</v>
          </cell>
          <cell r="E634">
            <v>75</v>
          </cell>
          <cell r="F634">
            <v>1000</v>
          </cell>
        </row>
        <row r="635">
          <cell r="A635" t="str">
            <v>AL031986</v>
          </cell>
          <cell r="B635">
            <v>1986</v>
          </cell>
          <cell r="C635" t="str">
            <v>STORM 3</v>
          </cell>
          <cell r="D635" t="str">
            <v>NA</v>
          </cell>
          <cell r="E635" t="str">
            <v>NA</v>
          </cell>
          <cell r="F635" t="str">
            <v>NA</v>
          </cell>
        </row>
        <row r="636">
          <cell r="A636" t="str">
            <v>AL041986</v>
          </cell>
          <cell r="B636">
            <v>1986</v>
          </cell>
          <cell r="C636" t="str">
            <v>STORM 4</v>
          </cell>
          <cell r="D636" t="str">
            <v>NA</v>
          </cell>
          <cell r="E636" t="str">
            <v>NA</v>
          </cell>
          <cell r="F636" t="str">
            <v>NA</v>
          </cell>
        </row>
        <row r="637">
          <cell r="A637" t="str">
            <v>AL061986</v>
          </cell>
          <cell r="B637">
            <v>1986</v>
          </cell>
          <cell r="C637" t="str">
            <v>STORM 6</v>
          </cell>
          <cell r="D637" t="str">
            <v>NA</v>
          </cell>
          <cell r="E637" t="str">
            <v>NA</v>
          </cell>
          <cell r="F637" t="str">
            <v>NA</v>
          </cell>
        </row>
        <row r="638">
          <cell r="A638" t="str">
            <v>AL071986</v>
          </cell>
          <cell r="B638">
            <v>1986</v>
          </cell>
          <cell r="C638" t="str">
            <v>STORM 7</v>
          </cell>
          <cell r="D638" t="str">
            <v>NA</v>
          </cell>
          <cell r="E638" t="str">
            <v>NA</v>
          </cell>
          <cell r="F638" t="str">
            <v>NA</v>
          </cell>
        </row>
        <row r="639">
          <cell r="A639" t="str">
            <v>AL011985</v>
          </cell>
          <cell r="B639">
            <v>1985</v>
          </cell>
          <cell r="C639" t="str">
            <v>ANA</v>
          </cell>
          <cell r="D639" t="str">
            <v>NA</v>
          </cell>
          <cell r="E639" t="str">
            <v>NA</v>
          </cell>
          <cell r="F639" t="str">
            <v>NA</v>
          </cell>
        </row>
        <row r="640">
          <cell r="A640" t="str">
            <v>AL021985</v>
          </cell>
          <cell r="B640">
            <v>1985</v>
          </cell>
          <cell r="C640" t="str">
            <v>BOB</v>
          </cell>
          <cell r="D640">
            <v>1</v>
          </cell>
          <cell r="E640">
            <v>65</v>
          </cell>
          <cell r="F640">
            <v>1002</v>
          </cell>
        </row>
        <row r="641">
          <cell r="A641" t="str">
            <v>AL031985</v>
          </cell>
          <cell r="B641">
            <v>1985</v>
          </cell>
          <cell r="C641" t="str">
            <v>CLAUDETTE</v>
          </cell>
          <cell r="D641">
            <v>1</v>
          </cell>
          <cell r="E641">
            <v>75</v>
          </cell>
          <cell r="F641">
            <v>980</v>
          </cell>
        </row>
        <row r="642">
          <cell r="A642" t="str">
            <v>AL041985</v>
          </cell>
          <cell r="B642">
            <v>1985</v>
          </cell>
          <cell r="C642" t="str">
            <v>DANNY</v>
          </cell>
          <cell r="D642">
            <v>1</v>
          </cell>
          <cell r="E642">
            <v>80</v>
          </cell>
          <cell r="F642">
            <v>987</v>
          </cell>
        </row>
        <row r="643">
          <cell r="A643" t="str">
            <v>AL051985</v>
          </cell>
          <cell r="B643">
            <v>1985</v>
          </cell>
          <cell r="C643" t="str">
            <v>ELENA</v>
          </cell>
          <cell r="D643">
            <v>3</v>
          </cell>
          <cell r="E643">
            <v>110</v>
          </cell>
          <cell r="F643">
            <v>953</v>
          </cell>
        </row>
        <row r="644">
          <cell r="A644" t="str">
            <v>AL081985</v>
          </cell>
          <cell r="B644">
            <v>1985</v>
          </cell>
          <cell r="C644" t="str">
            <v>FABIAN</v>
          </cell>
          <cell r="D644" t="str">
            <v>NA</v>
          </cell>
          <cell r="E644" t="str">
            <v>NA</v>
          </cell>
          <cell r="F644" t="str">
            <v>NA</v>
          </cell>
        </row>
        <row r="645">
          <cell r="A645" t="str">
            <v>AL091985</v>
          </cell>
          <cell r="B645">
            <v>1985</v>
          </cell>
          <cell r="C645" t="str">
            <v>GLORIA</v>
          </cell>
          <cell r="D645">
            <v>4</v>
          </cell>
          <cell r="E645">
            <v>125</v>
          </cell>
          <cell r="F645">
            <v>920</v>
          </cell>
        </row>
        <row r="646">
          <cell r="A646" t="str">
            <v>AL101985</v>
          </cell>
          <cell r="B646">
            <v>1985</v>
          </cell>
          <cell r="C646" t="str">
            <v>HENRI</v>
          </cell>
          <cell r="D646" t="str">
            <v>NA</v>
          </cell>
          <cell r="E646" t="str">
            <v>NA</v>
          </cell>
          <cell r="F646" t="str">
            <v>NA</v>
          </cell>
        </row>
        <row r="647">
          <cell r="A647" t="str">
            <v>AL111985</v>
          </cell>
          <cell r="B647">
            <v>1985</v>
          </cell>
          <cell r="C647" t="str">
            <v>ISABEL</v>
          </cell>
          <cell r="D647" t="str">
            <v>NA</v>
          </cell>
          <cell r="E647" t="str">
            <v>NA</v>
          </cell>
          <cell r="F647" t="str">
            <v>NA</v>
          </cell>
        </row>
        <row r="648">
          <cell r="A648" t="str">
            <v>AL121985</v>
          </cell>
          <cell r="B648">
            <v>1985</v>
          </cell>
          <cell r="C648" t="str">
            <v>JUAN</v>
          </cell>
          <cell r="D648">
            <v>1</v>
          </cell>
          <cell r="E648">
            <v>75</v>
          </cell>
          <cell r="F648">
            <v>971</v>
          </cell>
        </row>
        <row r="649">
          <cell r="A649" t="str">
            <v>AL131985</v>
          </cell>
          <cell r="B649">
            <v>1985</v>
          </cell>
          <cell r="C649" t="str">
            <v>KATE</v>
          </cell>
          <cell r="D649">
            <v>3</v>
          </cell>
          <cell r="E649">
            <v>105</v>
          </cell>
          <cell r="F649">
            <v>954</v>
          </cell>
        </row>
        <row r="650">
          <cell r="A650" t="str">
            <v>AL141985</v>
          </cell>
          <cell r="B650">
            <v>1985</v>
          </cell>
          <cell r="C650" t="str">
            <v>STORM 14</v>
          </cell>
          <cell r="D650" t="str">
            <v>NA</v>
          </cell>
          <cell r="E650" t="str">
            <v>NA</v>
          </cell>
          <cell r="F650" t="str">
            <v>NA</v>
          </cell>
        </row>
        <row r="651">
          <cell r="A651" t="str">
            <v>AL061985</v>
          </cell>
          <cell r="B651">
            <v>1985</v>
          </cell>
          <cell r="C651" t="str">
            <v>STORM 6</v>
          </cell>
          <cell r="D651" t="str">
            <v>NA</v>
          </cell>
          <cell r="E651" t="str">
            <v>NA</v>
          </cell>
          <cell r="F651" t="str">
            <v>NA</v>
          </cell>
        </row>
        <row r="652">
          <cell r="A652" t="str">
            <v>AL071985</v>
          </cell>
          <cell r="B652">
            <v>1985</v>
          </cell>
          <cell r="C652" t="str">
            <v>STORM 7</v>
          </cell>
          <cell r="D652" t="str">
            <v>NA</v>
          </cell>
          <cell r="E652" t="str">
            <v>NA</v>
          </cell>
          <cell r="F652" t="str">
            <v>NA</v>
          </cell>
        </row>
        <row r="653">
          <cell r="A653" t="str">
            <v>AL061984</v>
          </cell>
          <cell r="B653">
            <v>1984</v>
          </cell>
          <cell r="C653" t="str">
            <v>ARTHUR</v>
          </cell>
          <cell r="D653" t="str">
            <v>NA</v>
          </cell>
          <cell r="E653" t="str">
            <v>NA</v>
          </cell>
          <cell r="F653" t="str">
            <v>NA</v>
          </cell>
        </row>
        <row r="654">
          <cell r="A654" t="str">
            <v>AL071984</v>
          </cell>
          <cell r="B654">
            <v>1984</v>
          </cell>
          <cell r="C654" t="str">
            <v>BERTHA</v>
          </cell>
          <cell r="D654" t="str">
            <v>NA</v>
          </cell>
          <cell r="E654" t="str">
            <v>NA</v>
          </cell>
          <cell r="F654" t="str">
            <v>NA</v>
          </cell>
        </row>
        <row r="655">
          <cell r="A655" t="str">
            <v>AL081984</v>
          </cell>
          <cell r="B655">
            <v>1984</v>
          </cell>
          <cell r="C655" t="str">
            <v>CESAR</v>
          </cell>
          <cell r="D655" t="str">
            <v>NA</v>
          </cell>
          <cell r="E655" t="str">
            <v>NA</v>
          </cell>
          <cell r="F655" t="str">
            <v>NA</v>
          </cell>
        </row>
        <row r="656">
          <cell r="A656" t="str">
            <v>AL101984</v>
          </cell>
          <cell r="B656">
            <v>1984</v>
          </cell>
          <cell r="C656" t="str">
            <v>DIANA</v>
          </cell>
          <cell r="D656">
            <v>4</v>
          </cell>
          <cell r="E656">
            <v>115</v>
          </cell>
          <cell r="F656">
            <v>949</v>
          </cell>
        </row>
        <row r="657">
          <cell r="A657" t="str">
            <v>AL111984</v>
          </cell>
          <cell r="B657">
            <v>1984</v>
          </cell>
          <cell r="C657" t="str">
            <v>EDOUARD</v>
          </cell>
          <cell r="D657" t="str">
            <v>NA</v>
          </cell>
          <cell r="E657" t="str">
            <v>NA</v>
          </cell>
          <cell r="F657" t="str">
            <v>NA</v>
          </cell>
        </row>
        <row r="658">
          <cell r="A658" t="str">
            <v>AL121984</v>
          </cell>
          <cell r="B658">
            <v>1984</v>
          </cell>
          <cell r="C658" t="str">
            <v>FRAN</v>
          </cell>
          <cell r="D658" t="str">
            <v>NA</v>
          </cell>
          <cell r="E658" t="str">
            <v>NA</v>
          </cell>
          <cell r="F658" t="str">
            <v>NA</v>
          </cell>
        </row>
        <row r="659">
          <cell r="A659" t="str">
            <v>AL131984</v>
          </cell>
          <cell r="B659">
            <v>1984</v>
          </cell>
          <cell r="C659" t="str">
            <v>GUSTAV</v>
          </cell>
          <cell r="D659" t="str">
            <v>NA</v>
          </cell>
          <cell r="E659" t="str">
            <v>NA</v>
          </cell>
          <cell r="F659" t="str">
            <v>NA</v>
          </cell>
        </row>
        <row r="660">
          <cell r="A660" t="str">
            <v>AL141984</v>
          </cell>
          <cell r="B660">
            <v>1984</v>
          </cell>
          <cell r="C660" t="str">
            <v>HORTENSE</v>
          </cell>
          <cell r="D660">
            <v>1</v>
          </cell>
          <cell r="E660">
            <v>65</v>
          </cell>
          <cell r="F660">
            <v>993</v>
          </cell>
        </row>
        <row r="661">
          <cell r="A661" t="str">
            <v>AL151984</v>
          </cell>
          <cell r="B661">
            <v>1984</v>
          </cell>
          <cell r="C661" t="str">
            <v>ISIDORE</v>
          </cell>
          <cell r="D661" t="str">
            <v>NA</v>
          </cell>
          <cell r="E661" t="str">
            <v>NA</v>
          </cell>
          <cell r="F661" t="str">
            <v>NA</v>
          </cell>
        </row>
        <row r="662">
          <cell r="A662" t="str">
            <v>AL161984</v>
          </cell>
          <cell r="B662">
            <v>1984</v>
          </cell>
          <cell r="C662" t="str">
            <v>JOSEPHINE</v>
          </cell>
          <cell r="D662">
            <v>2</v>
          </cell>
          <cell r="E662">
            <v>90</v>
          </cell>
          <cell r="F662">
            <v>965</v>
          </cell>
        </row>
        <row r="663">
          <cell r="A663" t="str">
            <v>AL181984</v>
          </cell>
          <cell r="B663">
            <v>1984</v>
          </cell>
          <cell r="C663" t="str">
            <v>KLAUS</v>
          </cell>
          <cell r="D663">
            <v>1</v>
          </cell>
          <cell r="E663">
            <v>80</v>
          </cell>
          <cell r="F663">
            <v>971</v>
          </cell>
        </row>
        <row r="664">
          <cell r="A664" t="str">
            <v>AL201984</v>
          </cell>
          <cell r="B664">
            <v>1984</v>
          </cell>
          <cell r="C664" t="str">
            <v>LILI</v>
          </cell>
          <cell r="D664">
            <v>1</v>
          </cell>
          <cell r="E664">
            <v>70</v>
          </cell>
          <cell r="F664">
            <v>980</v>
          </cell>
        </row>
        <row r="665">
          <cell r="A665" t="str">
            <v>AL011984</v>
          </cell>
          <cell r="B665">
            <v>1984</v>
          </cell>
          <cell r="C665" t="str">
            <v>STORM 1</v>
          </cell>
          <cell r="D665" t="str">
            <v>NA</v>
          </cell>
          <cell r="E665" t="str">
            <v>NA</v>
          </cell>
          <cell r="F665" t="str">
            <v>NA</v>
          </cell>
        </row>
        <row r="666">
          <cell r="A666" t="str">
            <v>AL171984</v>
          </cell>
          <cell r="B666">
            <v>1984</v>
          </cell>
          <cell r="C666" t="str">
            <v>STORM 17</v>
          </cell>
          <cell r="D666" t="str">
            <v>NA</v>
          </cell>
          <cell r="E666" t="str">
            <v>NA</v>
          </cell>
          <cell r="F666" t="str">
            <v>NA</v>
          </cell>
        </row>
        <row r="667">
          <cell r="A667" t="str">
            <v>AL191984</v>
          </cell>
          <cell r="B667">
            <v>1984</v>
          </cell>
          <cell r="C667" t="str">
            <v>STORM 19</v>
          </cell>
          <cell r="D667" t="str">
            <v>NA</v>
          </cell>
          <cell r="E667" t="str">
            <v>NA</v>
          </cell>
          <cell r="F667" t="str">
            <v>NA</v>
          </cell>
        </row>
        <row r="668">
          <cell r="A668" t="str">
            <v>AL021984</v>
          </cell>
          <cell r="B668">
            <v>1984</v>
          </cell>
          <cell r="C668" t="str">
            <v>STORM 2</v>
          </cell>
          <cell r="D668" t="str">
            <v>NA</v>
          </cell>
          <cell r="E668" t="str">
            <v>NA</v>
          </cell>
          <cell r="F668" t="str">
            <v>NA</v>
          </cell>
        </row>
        <row r="669">
          <cell r="A669" t="str">
            <v>AL031984</v>
          </cell>
          <cell r="B669">
            <v>1984</v>
          </cell>
          <cell r="C669" t="str">
            <v>STORM 3</v>
          </cell>
          <cell r="D669" t="str">
            <v>NA</v>
          </cell>
          <cell r="E669" t="str">
            <v>NA</v>
          </cell>
          <cell r="F669" t="str">
            <v>NA</v>
          </cell>
        </row>
        <row r="670">
          <cell r="A670" t="str">
            <v>AL041984</v>
          </cell>
          <cell r="B670">
            <v>1984</v>
          </cell>
          <cell r="C670" t="str">
            <v>STORM 4</v>
          </cell>
          <cell r="D670" t="str">
            <v>NA</v>
          </cell>
          <cell r="E670" t="str">
            <v>NA</v>
          </cell>
          <cell r="F670" t="str">
            <v>NA</v>
          </cell>
        </row>
        <row r="671">
          <cell r="A671" t="str">
            <v>AL051984</v>
          </cell>
          <cell r="B671">
            <v>1984</v>
          </cell>
          <cell r="C671" t="str">
            <v>STORM 5</v>
          </cell>
          <cell r="D671" t="str">
            <v>NA</v>
          </cell>
          <cell r="E671" t="str">
            <v>NA</v>
          </cell>
          <cell r="F671" t="str">
            <v>NA</v>
          </cell>
        </row>
        <row r="672">
          <cell r="A672" t="str">
            <v>AL091984</v>
          </cell>
          <cell r="B672">
            <v>1984</v>
          </cell>
          <cell r="C672" t="str">
            <v>STORM 9</v>
          </cell>
          <cell r="D672" t="str">
            <v>NA</v>
          </cell>
          <cell r="E672" t="str">
            <v>NA</v>
          </cell>
          <cell r="F672" t="str">
            <v>NA</v>
          </cell>
        </row>
        <row r="673">
          <cell r="A673" t="str">
            <v>AL031983</v>
          </cell>
          <cell r="B673">
            <v>1983</v>
          </cell>
          <cell r="C673" t="str">
            <v>ALICIA</v>
          </cell>
          <cell r="D673">
            <v>3</v>
          </cell>
          <cell r="E673">
            <v>100</v>
          </cell>
          <cell r="F673">
            <v>962</v>
          </cell>
        </row>
        <row r="674">
          <cell r="A674" t="str">
            <v>AL041983</v>
          </cell>
          <cell r="B674">
            <v>1983</v>
          </cell>
          <cell r="C674" t="str">
            <v>BARRY</v>
          </cell>
          <cell r="D674">
            <v>1</v>
          </cell>
          <cell r="E674">
            <v>70</v>
          </cell>
          <cell r="F674">
            <v>986</v>
          </cell>
        </row>
        <row r="675">
          <cell r="A675" t="str">
            <v>AL051983</v>
          </cell>
          <cell r="B675">
            <v>1983</v>
          </cell>
          <cell r="C675" t="str">
            <v>CHANTAL</v>
          </cell>
          <cell r="D675">
            <v>1</v>
          </cell>
          <cell r="E675">
            <v>65</v>
          </cell>
          <cell r="F675">
            <v>994</v>
          </cell>
        </row>
        <row r="676">
          <cell r="A676" t="str">
            <v>AL061983</v>
          </cell>
          <cell r="B676">
            <v>1983</v>
          </cell>
          <cell r="C676" t="str">
            <v>DEAN</v>
          </cell>
          <cell r="D676" t="str">
            <v>NA</v>
          </cell>
          <cell r="E676" t="str">
            <v>NA</v>
          </cell>
          <cell r="F676" t="str">
            <v>NA</v>
          </cell>
        </row>
        <row r="677">
          <cell r="A677" t="str">
            <v>AL011983</v>
          </cell>
          <cell r="B677">
            <v>1983</v>
          </cell>
          <cell r="C677" t="str">
            <v>STORM 1</v>
          </cell>
          <cell r="D677" t="str">
            <v>NA</v>
          </cell>
          <cell r="E677" t="str">
            <v>NA</v>
          </cell>
          <cell r="F677" t="str">
            <v>NA</v>
          </cell>
        </row>
        <row r="678">
          <cell r="A678" t="str">
            <v>AL021983</v>
          </cell>
          <cell r="B678">
            <v>1983</v>
          </cell>
          <cell r="C678" t="str">
            <v>STORM 2</v>
          </cell>
          <cell r="D678" t="str">
            <v>NA</v>
          </cell>
          <cell r="E678" t="str">
            <v>NA</v>
          </cell>
          <cell r="F678" t="str">
            <v>NA</v>
          </cell>
        </row>
        <row r="679">
          <cell r="A679" t="str">
            <v>AL011982</v>
          </cell>
          <cell r="B679">
            <v>1982</v>
          </cell>
          <cell r="C679" t="str">
            <v>ALBERTO</v>
          </cell>
          <cell r="D679">
            <v>1</v>
          </cell>
          <cell r="E679">
            <v>75</v>
          </cell>
          <cell r="F679">
            <v>985</v>
          </cell>
        </row>
        <row r="680">
          <cell r="A680" t="str">
            <v>AL031982</v>
          </cell>
          <cell r="B680">
            <v>1982</v>
          </cell>
          <cell r="C680" t="str">
            <v>BERYL</v>
          </cell>
          <cell r="D680" t="str">
            <v>NA</v>
          </cell>
          <cell r="E680" t="str">
            <v>NA</v>
          </cell>
          <cell r="F680" t="str">
            <v>NA</v>
          </cell>
        </row>
        <row r="681">
          <cell r="A681" t="str">
            <v>AL051982</v>
          </cell>
          <cell r="B681">
            <v>1982</v>
          </cell>
          <cell r="C681" t="str">
            <v>CHRIS</v>
          </cell>
          <cell r="D681" t="str">
            <v>NA</v>
          </cell>
          <cell r="E681" t="str">
            <v>NA</v>
          </cell>
          <cell r="F681" t="str">
            <v>NA</v>
          </cell>
        </row>
        <row r="682">
          <cell r="A682" t="str">
            <v>AL061982</v>
          </cell>
          <cell r="B682">
            <v>1982</v>
          </cell>
          <cell r="C682" t="str">
            <v>DEBBY</v>
          </cell>
          <cell r="D682">
            <v>4</v>
          </cell>
          <cell r="E682">
            <v>115</v>
          </cell>
          <cell r="F682">
            <v>950</v>
          </cell>
        </row>
        <row r="683">
          <cell r="A683" t="str">
            <v>AL081982</v>
          </cell>
          <cell r="B683">
            <v>1982</v>
          </cell>
          <cell r="C683" t="str">
            <v>ERNESTO</v>
          </cell>
          <cell r="D683" t="str">
            <v>NA</v>
          </cell>
          <cell r="E683" t="str">
            <v>NA</v>
          </cell>
          <cell r="F683" t="str">
            <v>NA</v>
          </cell>
        </row>
        <row r="684">
          <cell r="A684" t="str">
            <v>AL021982</v>
          </cell>
          <cell r="B684">
            <v>1982</v>
          </cell>
          <cell r="C684" t="str">
            <v>STORM 2</v>
          </cell>
          <cell r="D684" t="str">
            <v>NA</v>
          </cell>
          <cell r="E684" t="str">
            <v>NA</v>
          </cell>
          <cell r="F684" t="str">
            <v>NA</v>
          </cell>
        </row>
        <row r="685">
          <cell r="A685" t="str">
            <v>AL041982</v>
          </cell>
          <cell r="B685">
            <v>1982</v>
          </cell>
          <cell r="C685" t="str">
            <v>STORM 4</v>
          </cell>
          <cell r="D685" t="str">
            <v>NA</v>
          </cell>
          <cell r="E685" t="str">
            <v>NA</v>
          </cell>
          <cell r="F685" t="str">
            <v>NA</v>
          </cell>
        </row>
        <row r="686">
          <cell r="A686" t="str">
            <v>AL071982</v>
          </cell>
          <cell r="B686">
            <v>1982</v>
          </cell>
          <cell r="C686" t="str">
            <v>STORM 7</v>
          </cell>
          <cell r="D686" t="str">
            <v>NA</v>
          </cell>
          <cell r="E686" t="str">
            <v>NA</v>
          </cell>
          <cell r="F686" t="str">
            <v>NA</v>
          </cell>
        </row>
        <row r="687">
          <cell r="A687" t="str">
            <v>AL031981</v>
          </cell>
          <cell r="B687">
            <v>1981</v>
          </cell>
          <cell r="C687" t="str">
            <v>ARLENE</v>
          </cell>
          <cell r="D687" t="str">
            <v>NA</v>
          </cell>
          <cell r="E687" t="str">
            <v>NA</v>
          </cell>
          <cell r="F687" t="str">
            <v>NA</v>
          </cell>
        </row>
        <row r="688">
          <cell r="A688" t="str">
            <v>AL021981</v>
          </cell>
          <cell r="B688">
            <v>1981</v>
          </cell>
          <cell r="C688" t="str">
            <v>BRET</v>
          </cell>
          <cell r="D688" t="str">
            <v>NA</v>
          </cell>
          <cell r="E688" t="str">
            <v>NA</v>
          </cell>
          <cell r="F688" t="str">
            <v>NA</v>
          </cell>
        </row>
        <row r="689">
          <cell r="A689" t="str">
            <v>AL091981</v>
          </cell>
          <cell r="B689">
            <v>1981</v>
          </cell>
          <cell r="C689" t="str">
            <v>CINDY</v>
          </cell>
          <cell r="D689" t="str">
            <v>NA</v>
          </cell>
          <cell r="E689" t="str">
            <v>NA</v>
          </cell>
          <cell r="F689" t="str">
            <v>NA</v>
          </cell>
        </row>
        <row r="690">
          <cell r="A690" t="str">
            <v>AL101981</v>
          </cell>
          <cell r="B690">
            <v>1981</v>
          </cell>
          <cell r="C690" t="str">
            <v>DENNIS</v>
          </cell>
          <cell r="D690">
            <v>1</v>
          </cell>
          <cell r="E690">
            <v>70</v>
          </cell>
          <cell r="F690">
            <v>995</v>
          </cell>
        </row>
        <row r="691">
          <cell r="A691" t="str">
            <v>AL131981</v>
          </cell>
          <cell r="B691">
            <v>1981</v>
          </cell>
          <cell r="C691" t="str">
            <v>EMILY</v>
          </cell>
          <cell r="D691">
            <v>1</v>
          </cell>
          <cell r="E691">
            <v>80</v>
          </cell>
          <cell r="F691">
            <v>966</v>
          </cell>
        </row>
        <row r="692">
          <cell r="A692" t="str">
            <v>AL141981</v>
          </cell>
          <cell r="B692">
            <v>1981</v>
          </cell>
          <cell r="C692" t="str">
            <v>FLOYD</v>
          </cell>
          <cell r="D692">
            <v>3</v>
          </cell>
          <cell r="E692">
            <v>100</v>
          </cell>
          <cell r="F692">
            <v>975</v>
          </cell>
        </row>
        <row r="693">
          <cell r="A693" t="str">
            <v>AL151981</v>
          </cell>
          <cell r="B693">
            <v>1981</v>
          </cell>
          <cell r="C693" t="str">
            <v>GERT</v>
          </cell>
          <cell r="D693">
            <v>2</v>
          </cell>
          <cell r="E693">
            <v>90</v>
          </cell>
          <cell r="F693">
            <v>988</v>
          </cell>
        </row>
        <row r="694">
          <cell r="A694" t="str">
            <v>AL161981</v>
          </cell>
          <cell r="B694">
            <v>1981</v>
          </cell>
          <cell r="C694" t="str">
            <v>HARVEY</v>
          </cell>
          <cell r="D694">
            <v>4</v>
          </cell>
          <cell r="E694">
            <v>115</v>
          </cell>
          <cell r="F694">
            <v>946</v>
          </cell>
        </row>
        <row r="695">
          <cell r="A695" t="str">
            <v>AL181981</v>
          </cell>
          <cell r="B695">
            <v>1981</v>
          </cell>
          <cell r="C695" t="str">
            <v>IRENE</v>
          </cell>
          <cell r="D695">
            <v>3</v>
          </cell>
          <cell r="E695">
            <v>105</v>
          </cell>
          <cell r="F695">
            <v>959</v>
          </cell>
        </row>
        <row r="696">
          <cell r="A696" t="str">
            <v>AL201981</v>
          </cell>
          <cell r="B696">
            <v>1981</v>
          </cell>
          <cell r="C696" t="str">
            <v>JOSE</v>
          </cell>
          <cell r="D696" t="str">
            <v>NA</v>
          </cell>
          <cell r="E696" t="str">
            <v>NA</v>
          </cell>
          <cell r="F696" t="str">
            <v>NA</v>
          </cell>
        </row>
        <row r="697">
          <cell r="A697" t="str">
            <v>AL211981</v>
          </cell>
          <cell r="B697">
            <v>1981</v>
          </cell>
          <cell r="C697" t="str">
            <v>KATRINA</v>
          </cell>
          <cell r="D697">
            <v>1</v>
          </cell>
          <cell r="E697">
            <v>75</v>
          </cell>
          <cell r="F697">
            <v>980</v>
          </cell>
        </row>
        <row r="698">
          <cell r="A698" t="str">
            <v>AL011981</v>
          </cell>
          <cell r="B698">
            <v>1981</v>
          </cell>
          <cell r="C698" t="str">
            <v>STORM 1</v>
          </cell>
          <cell r="D698" t="str">
            <v>NA</v>
          </cell>
          <cell r="E698" t="str">
            <v>NA</v>
          </cell>
          <cell r="F698" t="str">
            <v>NA</v>
          </cell>
        </row>
        <row r="699">
          <cell r="A699" t="str">
            <v>AL111981</v>
          </cell>
          <cell r="B699">
            <v>1981</v>
          </cell>
          <cell r="C699" t="str">
            <v>STORM 11</v>
          </cell>
          <cell r="D699" t="str">
            <v>NA</v>
          </cell>
          <cell r="E699" t="str">
            <v>NA</v>
          </cell>
          <cell r="F699" t="str">
            <v>NA</v>
          </cell>
        </row>
        <row r="700">
          <cell r="A700" t="str">
            <v>AL121981</v>
          </cell>
          <cell r="B700">
            <v>1981</v>
          </cell>
          <cell r="C700" t="str">
            <v>STORM 12</v>
          </cell>
          <cell r="D700" t="str">
            <v>NA</v>
          </cell>
          <cell r="E700" t="str">
            <v>NA</v>
          </cell>
          <cell r="F700" t="str">
            <v>NA</v>
          </cell>
        </row>
        <row r="701">
          <cell r="A701" t="str">
            <v>AL171981</v>
          </cell>
          <cell r="B701">
            <v>1981</v>
          </cell>
          <cell r="C701" t="str">
            <v>STORM 17</v>
          </cell>
          <cell r="D701" t="str">
            <v>NA</v>
          </cell>
          <cell r="E701" t="str">
            <v>NA</v>
          </cell>
          <cell r="F701" t="str">
            <v>NA</v>
          </cell>
        </row>
        <row r="702">
          <cell r="A702" t="str">
            <v>AL191981</v>
          </cell>
          <cell r="B702">
            <v>1981</v>
          </cell>
          <cell r="C702" t="str">
            <v>STORM 19</v>
          </cell>
          <cell r="D702" t="str">
            <v>NA</v>
          </cell>
          <cell r="E702" t="str">
            <v>NA</v>
          </cell>
          <cell r="F702" t="str">
            <v>NA</v>
          </cell>
        </row>
        <row r="703">
          <cell r="A703" t="str">
            <v>AL221981</v>
          </cell>
          <cell r="B703">
            <v>1981</v>
          </cell>
          <cell r="C703" t="str">
            <v>STORM 22</v>
          </cell>
          <cell r="D703" t="str">
            <v>NA</v>
          </cell>
          <cell r="E703" t="str">
            <v>NA</v>
          </cell>
          <cell r="F703" t="str">
            <v>NA</v>
          </cell>
        </row>
        <row r="704">
          <cell r="A704" t="str">
            <v>AL041981</v>
          </cell>
          <cell r="B704">
            <v>1981</v>
          </cell>
          <cell r="C704" t="str">
            <v>STORM 4</v>
          </cell>
          <cell r="D704" t="str">
            <v>NA</v>
          </cell>
          <cell r="E704" t="str">
            <v>NA</v>
          </cell>
          <cell r="F704" t="str">
            <v>NA</v>
          </cell>
        </row>
        <row r="705">
          <cell r="A705" t="str">
            <v>AL051981</v>
          </cell>
          <cell r="B705">
            <v>1981</v>
          </cell>
          <cell r="C705" t="str">
            <v>STORM 5</v>
          </cell>
          <cell r="D705" t="str">
            <v>NA</v>
          </cell>
          <cell r="E705" t="str">
            <v>NA</v>
          </cell>
          <cell r="F705" t="str">
            <v>NA</v>
          </cell>
        </row>
        <row r="706">
          <cell r="A706" t="str">
            <v>AL071981</v>
          </cell>
          <cell r="B706">
            <v>1981</v>
          </cell>
          <cell r="C706" t="str">
            <v>STORM 7</v>
          </cell>
          <cell r="D706" t="str">
            <v>NA</v>
          </cell>
          <cell r="E706" t="str">
            <v>NA</v>
          </cell>
          <cell r="F706" t="str">
            <v>NA</v>
          </cell>
        </row>
        <row r="707">
          <cell r="A707" t="str">
            <v>AL081981</v>
          </cell>
          <cell r="B707">
            <v>1981</v>
          </cell>
          <cell r="C707" t="str">
            <v>STORM 8</v>
          </cell>
          <cell r="D707" t="str">
            <v>NA</v>
          </cell>
          <cell r="E707" t="str">
            <v>NA</v>
          </cell>
          <cell r="F707" t="str">
            <v>NA</v>
          </cell>
        </row>
        <row r="708">
          <cell r="A708" t="str">
            <v>AL041980</v>
          </cell>
          <cell r="B708">
            <v>1980</v>
          </cell>
          <cell r="C708" t="str">
            <v>ALLEN</v>
          </cell>
          <cell r="D708">
            <v>5</v>
          </cell>
          <cell r="E708">
            <v>165</v>
          </cell>
          <cell r="F708">
            <v>899</v>
          </cell>
        </row>
        <row r="709">
          <cell r="A709" t="str">
            <v>AL061980</v>
          </cell>
          <cell r="B709">
            <v>1980</v>
          </cell>
          <cell r="C709" t="str">
            <v>BONNIE</v>
          </cell>
          <cell r="D709">
            <v>2</v>
          </cell>
          <cell r="E709">
            <v>85</v>
          </cell>
          <cell r="F709">
            <v>975</v>
          </cell>
        </row>
        <row r="710">
          <cell r="A710" t="str">
            <v>AL071980</v>
          </cell>
          <cell r="B710">
            <v>1980</v>
          </cell>
          <cell r="C710" t="str">
            <v>CHARLEY</v>
          </cell>
          <cell r="D710">
            <v>1</v>
          </cell>
          <cell r="E710">
            <v>70</v>
          </cell>
          <cell r="F710">
            <v>989</v>
          </cell>
        </row>
        <row r="711">
          <cell r="A711" t="str">
            <v>AL111980</v>
          </cell>
          <cell r="B711">
            <v>1980</v>
          </cell>
          <cell r="C711" t="str">
            <v>DANIELLE</v>
          </cell>
          <cell r="D711" t="str">
            <v>NA</v>
          </cell>
          <cell r="E711" t="str">
            <v>NA</v>
          </cell>
          <cell r="F711" t="str">
            <v>NA</v>
          </cell>
        </row>
        <row r="712">
          <cell r="A712" t="str">
            <v>AL101980</v>
          </cell>
          <cell r="B712">
            <v>1980</v>
          </cell>
          <cell r="C712" t="str">
            <v>EARL</v>
          </cell>
          <cell r="D712">
            <v>1</v>
          </cell>
          <cell r="E712">
            <v>65</v>
          </cell>
          <cell r="F712">
            <v>985</v>
          </cell>
        </row>
        <row r="713">
          <cell r="A713" t="str">
            <v>AL121980</v>
          </cell>
          <cell r="B713">
            <v>1980</v>
          </cell>
          <cell r="C713" t="str">
            <v>FRANCES</v>
          </cell>
          <cell r="D713">
            <v>3</v>
          </cell>
          <cell r="E713">
            <v>100</v>
          </cell>
          <cell r="F713">
            <v>958</v>
          </cell>
        </row>
        <row r="714">
          <cell r="A714" t="str">
            <v>AL091980</v>
          </cell>
          <cell r="B714">
            <v>1980</v>
          </cell>
          <cell r="C714" t="str">
            <v>GEORGES</v>
          </cell>
          <cell r="D714">
            <v>1</v>
          </cell>
          <cell r="E714">
            <v>70</v>
          </cell>
          <cell r="F714">
            <v>993</v>
          </cell>
        </row>
        <row r="715">
          <cell r="A715" t="str">
            <v>AL131980</v>
          </cell>
          <cell r="B715">
            <v>1980</v>
          </cell>
          <cell r="C715" t="str">
            <v>HERMINE</v>
          </cell>
          <cell r="D715" t="str">
            <v>NA</v>
          </cell>
          <cell r="E715" t="str">
            <v>NA</v>
          </cell>
          <cell r="F715" t="str">
            <v>NA</v>
          </cell>
        </row>
        <row r="716">
          <cell r="A716" t="str">
            <v>AL141980</v>
          </cell>
          <cell r="B716">
            <v>1980</v>
          </cell>
          <cell r="C716" t="str">
            <v>IVAN</v>
          </cell>
          <cell r="D716">
            <v>2</v>
          </cell>
          <cell r="E716">
            <v>90</v>
          </cell>
          <cell r="F716">
            <v>970</v>
          </cell>
        </row>
        <row r="717">
          <cell r="A717" t="str">
            <v>AL161980</v>
          </cell>
          <cell r="B717">
            <v>1980</v>
          </cell>
          <cell r="C717" t="str">
            <v>JEANNE</v>
          </cell>
          <cell r="D717">
            <v>2</v>
          </cell>
          <cell r="E717">
            <v>85</v>
          </cell>
          <cell r="F717">
            <v>986</v>
          </cell>
        </row>
        <row r="718">
          <cell r="A718" t="str">
            <v>AL181980</v>
          </cell>
          <cell r="B718">
            <v>1980</v>
          </cell>
          <cell r="C718" t="str">
            <v>KARL</v>
          </cell>
          <cell r="D718">
            <v>1</v>
          </cell>
          <cell r="E718">
            <v>75</v>
          </cell>
          <cell r="F718">
            <v>985</v>
          </cell>
        </row>
        <row r="719">
          <cell r="A719" t="str">
            <v>AL011980</v>
          </cell>
          <cell r="B719">
            <v>1980</v>
          </cell>
          <cell r="C719" t="str">
            <v>STORM 1</v>
          </cell>
          <cell r="D719" t="str">
            <v>NA</v>
          </cell>
          <cell r="E719" t="str">
            <v>NA</v>
          </cell>
          <cell r="F719" t="str">
            <v>NA</v>
          </cell>
        </row>
        <row r="720">
          <cell r="A720" t="str">
            <v>AL151980</v>
          </cell>
          <cell r="B720">
            <v>1980</v>
          </cell>
          <cell r="C720" t="str">
            <v>STORM 15</v>
          </cell>
          <cell r="D720" t="str">
            <v>NA</v>
          </cell>
          <cell r="E720" t="str">
            <v>NA</v>
          </cell>
          <cell r="F720" t="str">
            <v>NA</v>
          </cell>
        </row>
        <row r="721">
          <cell r="A721" t="str">
            <v>AL171980</v>
          </cell>
          <cell r="B721">
            <v>1980</v>
          </cell>
          <cell r="C721" t="str">
            <v>STORM 17</v>
          </cell>
          <cell r="D721" t="str">
            <v>NA</v>
          </cell>
          <cell r="E721" t="str">
            <v>NA</v>
          </cell>
          <cell r="F721" t="str">
            <v>NA</v>
          </cell>
        </row>
        <row r="722">
          <cell r="A722" t="str">
            <v>AL021980</v>
          </cell>
          <cell r="B722">
            <v>1980</v>
          </cell>
          <cell r="C722" t="str">
            <v>STORM 2</v>
          </cell>
          <cell r="D722" t="str">
            <v>NA</v>
          </cell>
          <cell r="E722" t="str">
            <v>NA</v>
          </cell>
          <cell r="F722" t="str">
            <v>NA</v>
          </cell>
        </row>
        <row r="723">
          <cell r="A723" t="str">
            <v>AL031980</v>
          </cell>
          <cell r="B723">
            <v>1980</v>
          </cell>
          <cell r="C723" t="str">
            <v>STORM 3</v>
          </cell>
          <cell r="D723" t="str">
            <v>NA</v>
          </cell>
          <cell r="E723" t="str">
            <v>NA</v>
          </cell>
          <cell r="F723" t="str">
            <v>NA</v>
          </cell>
        </row>
        <row r="724">
          <cell r="A724" t="str">
            <v>AL051980</v>
          </cell>
          <cell r="B724">
            <v>1980</v>
          </cell>
          <cell r="C724" t="str">
            <v>STORM 5</v>
          </cell>
          <cell r="D724" t="str">
            <v>NA</v>
          </cell>
          <cell r="E724" t="str">
            <v>NA</v>
          </cell>
          <cell r="F724" t="str">
            <v>NA</v>
          </cell>
        </row>
        <row r="725">
          <cell r="A725" t="str">
            <v>AL081980</v>
          </cell>
          <cell r="B725">
            <v>1980</v>
          </cell>
          <cell r="C725" t="str">
            <v>STORM 8</v>
          </cell>
          <cell r="D725" t="str">
            <v>NA</v>
          </cell>
          <cell r="E725" t="str">
            <v>NA</v>
          </cell>
          <cell r="F725" t="str">
            <v>NA</v>
          </cell>
        </row>
        <row r="726">
          <cell r="A726" t="str">
            <v>AL021979</v>
          </cell>
          <cell r="B726">
            <v>1979</v>
          </cell>
          <cell r="C726" t="str">
            <v>ANA</v>
          </cell>
          <cell r="D726" t="str">
            <v>NA</v>
          </cell>
          <cell r="E726" t="str">
            <v>NA</v>
          </cell>
          <cell r="F726" t="str">
            <v>NA</v>
          </cell>
        </row>
        <row r="727">
          <cell r="A727" t="str">
            <v>AL041979</v>
          </cell>
          <cell r="B727">
            <v>1979</v>
          </cell>
          <cell r="C727" t="str">
            <v>BOB</v>
          </cell>
          <cell r="D727">
            <v>1</v>
          </cell>
          <cell r="E727">
            <v>65</v>
          </cell>
          <cell r="F727">
            <v>986</v>
          </cell>
        </row>
        <row r="728">
          <cell r="A728" t="str">
            <v>AL061979</v>
          </cell>
          <cell r="B728">
            <v>1979</v>
          </cell>
          <cell r="C728" t="str">
            <v>CLAUDETTE</v>
          </cell>
          <cell r="D728" t="str">
            <v>NA</v>
          </cell>
          <cell r="E728" t="str">
            <v>NA</v>
          </cell>
          <cell r="F728" t="str">
            <v>NA</v>
          </cell>
        </row>
        <row r="729">
          <cell r="A729" t="str">
            <v>AL091979</v>
          </cell>
          <cell r="B729">
            <v>1979</v>
          </cell>
          <cell r="C729" t="str">
            <v>DAVID</v>
          </cell>
          <cell r="D729">
            <v>5</v>
          </cell>
          <cell r="E729">
            <v>150</v>
          </cell>
          <cell r="F729">
            <v>924</v>
          </cell>
        </row>
        <row r="730">
          <cell r="A730" t="str">
            <v>AL121979</v>
          </cell>
          <cell r="B730">
            <v>1979</v>
          </cell>
          <cell r="C730" t="str">
            <v>ELENA</v>
          </cell>
          <cell r="D730" t="str">
            <v>NA</v>
          </cell>
          <cell r="E730" t="str">
            <v>NA</v>
          </cell>
          <cell r="F730" t="str">
            <v>NA</v>
          </cell>
        </row>
        <row r="731">
          <cell r="A731" t="str">
            <v>AL111979</v>
          </cell>
          <cell r="B731">
            <v>1979</v>
          </cell>
          <cell r="C731" t="str">
            <v>FREDERIC</v>
          </cell>
          <cell r="D731">
            <v>4</v>
          </cell>
          <cell r="E731">
            <v>115</v>
          </cell>
          <cell r="F731">
            <v>943</v>
          </cell>
        </row>
        <row r="732">
          <cell r="A732" t="str">
            <v>AL141979</v>
          </cell>
          <cell r="B732">
            <v>1979</v>
          </cell>
          <cell r="C732" t="str">
            <v>GLORIA</v>
          </cell>
          <cell r="D732">
            <v>2</v>
          </cell>
          <cell r="E732">
            <v>85</v>
          </cell>
          <cell r="F732">
            <v>975</v>
          </cell>
        </row>
        <row r="733">
          <cell r="A733" t="str">
            <v>AL151979</v>
          </cell>
          <cell r="B733">
            <v>1979</v>
          </cell>
          <cell r="C733" t="str">
            <v>HENRI</v>
          </cell>
          <cell r="D733">
            <v>1</v>
          </cell>
          <cell r="E733">
            <v>75</v>
          </cell>
          <cell r="F733">
            <v>983</v>
          </cell>
        </row>
        <row r="734">
          <cell r="A734" t="str">
            <v>AL011979</v>
          </cell>
          <cell r="B734">
            <v>1979</v>
          </cell>
          <cell r="C734" t="str">
            <v>STORM 1</v>
          </cell>
          <cell r="D734" t="str">
            <v>NA</v>
          </cell>
          <cell r="E734" t="str">
            <v>NA</v>
          </cell>
          <cell r="F734" t="str">
            <v>NA</v>
          </cell>
        </row>
        <row r="735">
          <cell r="A735" t="str">
            <v>AL101979</v>
          </cell>
          <cell r="B735">
            <v>1979</v>
          </cell>
          <cell r="C735" t="str">
            <v>STORM 10</v>
          </cell>
          <cell r="D735" t="str">
            <v>NA</v>
          </cell>
          <cell r="E735" t="str">
            <v>NA</v>
          </cell>
          <cell r="F735" t="str">
            <v>NA</v>
          </cell>
        </row>
        <row r="736">
          <cell r="A736" t="str">
            <v>AL131979</v>
          </cell>
          <cell r="B736">
            <v>1979</v>
          </cell>
          <cell r="C736" t="str">
            <v>STORM 13</v>
          </cell>
          <cell r="D736" t="str">
            <v>NA</v>
          </cell>
          <cell r="E736" t="str">
            <v>NA</v>
          </cell>
          <cell r="F736" t="str">
            <v>NA</v>
          </cell>
        </row>
        <row r="737">
          <cell r="A737" t="str">
            <v>AL161979</v>
          </cell>
          <cell r="B737">
            <v>1979</v>
          </cell>
          <cell r="C737" t="str">
            <v>STORM 16</v>
          </cell>
          <cell r="D737" t="str">
            <v>NA</v>
          </cell>
          <cell r="E737" t="str">
            <v>NA</v>
          </cell>
          <cell r="F737" t="str">
            <v>NA</v>
          </cell>
        </row>
        <row r="738">
          <cell r="A738" t="str">
            <v>AL171979</v>
          </cell>
          <cell r="B738">
            <v>1979</v>
          </cell>
          <cell r="C738" t="str">
            <v>STORM 17</v>
          </cell>
          <cell r="D738" t="str">
            <v>NA</v>
          </cell>
          <cell r="E738" t="str">
            <v>NA</v>
          </cell>
          <cell r="F738" t="str">
            <v>NA</v>
          </cell>
        </row>
        <row r="739">
          <cell r="A739" t="str">
            <v>AL181979</v>
          </cell>
          <cell r="B739">
            <v>1979</v>
          </cell>
          <cell r="C739" t="str">
            <v>STORM 18</v>
          </cell>
          <cell r="D739" t="str">
            <v>NA</v>
          </cell>
          <cell r="E739" t="str">
            <v>NA</v>
          </cell>
          <cell r="F739" t="str">
            <v>NA</v>
          </cell>
        </row>
        <row r="740">
          <cell r="A740" t="str">
            <v>AL191979</v>
          </cell>
          <cell r="B740">
            <v>1979</v>
          </cell>
          <cell r="C740" t="str">
            <v>STORM 19</v>
          </cell>
          <cell r="D740" t="str">
            <v>NA</v>
          </cell>
          <cell r="E740" t="str">
            <v>NA</v>
          </cell>
          <cell r="F740" t="str">
            <v>NA</v>
          </cell>
        </row>
        <row r="741">
          <cell r="A741" t="str">
            <v>AL201979</v>
          </cell>
          <cell r="B741">
            <v>1979</v>
          </cell>
          <cell r="C741" t="str">
            <v>STORM 20</v>
          </cell>
          <cell r="D741" t="str">
            <v>NA</v>
          </cell>
          <cell r="E741" t="str">
            <v>NA</v>
          </cell>
          <cell r="F741" t="str">
            <v>NA</v>
          </cell>
        </row>
        <row r="742">
          <cell r="A742" t="str">
            <v>AL031979</v>
          </cell>
          <cell r="B742">
            <v>1979</v>
          </cell>
          <cell r="C742" t="str">
            <v>STORM 3</v>
          </cell>
          <cell r="D742" t="str">
            <v>NA</v>
          </cell>
          <cell r="E742" t="str">
            <v>NA</v>
          </cell>
          <cell r="F742" t="str">
            <v>NA</v>
          </cell>
        </row>
        <row r="743">
          <cell r="A743" t="str">
            <v>AL051979</v>
          </cell>
          <cell r="B743">
            <v>1979</v>
          </cell>
          <cell r="C743" t="str">
            <v>STORM 5</v>
          </cell>
          <cell r="D743" t="str">
            <v>NA</v>
          </cell>
          <cell r="E743" t="str">
            <v>NA</v>
          </cell>
          <cell r="F743" t="str">
            <v>NA</v>
          </cell>
        </row>
        <row r="744">
          <cell r="A744" t="str">
            <v>AL071979</v>
          </cell>
          <cell r="B744">
            <v>1979</v>
          </cell>
          <cell r="C744" t="str">
            <v>STORM 7</v>
          </cell>
          <cell r="D744" t="str">
            <v>NA</v>
          </cell>
          <cell r="E744" t="str">
            <v>NA</v>
          </cell>
          <cell r="F744" t="str">
            <v>NA</v>
          </cell>
        </row>
        <row r="745">
          <cell r="A745" t="str">
            <v>AL081979</v>
          </cell>
          <cell r="B745">
            <v>1979</v>
          </cell>
          <cell r="C745" t="str">
            <v>STORM 8</v>
          </cell>
          <cell r="D745" t="str">
            <v>NA</v>
          </cell>
          <cell r="E745" t="str">
            <v>NA</v>
          </cell>
          <cell r="F745" t="str">
            <v>NA</v>
          </cell>
        </row>
        <row r="746">
          <cell r="A746" t="str">
            <v>AL041978</v>
          </cell>
          <cell r="B746">
            <v>1978</v>
          </cell>
          <cell r="C746" t="str">
            <v>AMELIA</v>
          </cell>
          <cell r="D746" t="str">
            <v>NA</v>
          </cell>
          <cell r="E746" t="str">
            <v>NA</v>
          </cell>
          <cell r="F746" t="str">
            <v>NA</v>
          </cell>
        </row>
        <row r="747">
          <cell r="A747" t="str">
            <v>AL051978</v>
          </cell>
          <cell r="B747">
            <v>1978</v>
          </cell>
          <cell r="C747" t="str">
            <v>BESS</v>
          </cell>
          <cell r="D747" t="str">
            <v>NA</v>
          </cell>
          <cell r="E747" t="str">
            <v>NA</v>
          </cell>
          <cell r="F747" t="str">
            <v>NA</v>
          </cell>
        </row>
        <row r="748">
          <cell r="A748" t="str">
            <v>AL061978</v>
          </cell>
          <cell r="B748">
            <v>1978</v>
          </cell>
          <cell r="C748" t="str">
            <v>CORA</v>
          </cell>
          <cell r="D748">
            <v>1</v>
          </cell>
          <cell r="E748">
            <v>80</v>
          </cell>
          <cell r="F748">
            <v>980</v>
          </cell>
        </row>
        <row r="749">
          <cell r="A749" t="str">
            <v>AL091978</v>
          </cell>
          <cell r="B749">
            <v>1978</v>
          </cell>
          <cell r="C749" t="str">
            <v>DEBRA</v>
          </cell>
          <cell r="D749" t="str">
            <v>NA</v>
          </cell>
          <cell r="E749" t="str">
            <v>NA</v>
          </cell>
          <cell r="F749" t="str">
            <v>NA</v>
          </cell>
        </row>
        <row r="750">
          <cell r="A750" t="str">
            <v>AL101978</v>
          </cell>
          <cell r="B750">
            <v>1978</v>
          </cell>
          <cell r="C750" t="str">
            <v>ELLA</v>
          </cell>
          <cell r="D750">
            <v>4</v>
          </cell>
          <cell r="E750">
            <v>120</v>
          </cell>
          <cell r="F750">
            <v>956</v>
          </cell>
        </row>
        <row r="751">
          <cell r="A751" t="str">
            <v>AL131978</v>
          </cell>
          <cell r="B751">
            <v>1978</v>
          </cell>
          <cell r="C751" t="str">
            <v>FLOSSIE</v>
          </cell>
          <cell r="D751">
            <v>2</v>
          </cell>
          <cell r="E751">
            <v>85</v>
          </cell>
          <cell r="F751">
            <v>976</v>
          </cell>
        </row>
        <row r="752">
          <cell r="A752" t="str">
            <v>AL161978</v>
          </cell>
          <cell r="B752">
            <v>1978</v>
          </cell>
          <cell r="C752" t="str">
            <v>GRETA</v>
          </cell>
          <cell r="D752">
            <v>4</v>
          </cell>
          <cell r="E752">
            <v>115</v>
          </cell>
          <cell r="F752">
            <v>947</v>
          </cell>
        </row>
        <row r="753">
          <cell r="A753" t="str">
            <v>AL151978</v>
          </cell>
          <cell r="B753">
            <v>1978</v>
          </cell>
          <cell r="C753" t="str">
            <v>HOPE</v>
          </cell>
          <cell r="D753" t="str">
            <v>NA</v>
          </cell>
          <cell r="E753" t="str">
            <v>NA</v>
          </cell>
          <cell r="F753" t="str">
            <v>NA</v>
          </cell>
        </row>
        <row r="754">
          <cell r="A754" t="str">
            <v>AL191978</v>
          </cell>
          <cell r="B754">
            <v>1978</v>
          </cell>
          <cell r="C754" t="str">
            <v>IRMA</v>
          </cell>
          <cell r="D754" t="str">
            <v>NA</v>
          </cell>
          <cell r="E754" t="str">
            <v>NA</v>
          </cell>
          <cell r="F754" t="str">
            <v>NA</v>
          </cell>
        </row>
        <row r="755">
          <cell r="A755" t="str">
            <v>AL201978</v>
          </cell>
          <cell r="B755">
            <v>1978</v>
          </cell>
          <cell r="C755" t="str">
            <v>JULIET</v>
          </cell>
          <cell r="D755" t="str">
            <v>NA</v>
          </cell>
          <cell r="E755" t="str">
            <v>NA</v>
          </cell>
          <cell r="F755" t="str">
            <v>NA</v>
          </cell>
        </row>
        <row r="756">
          <cell r="A756" t="str">
            <v>AL231978</v>
          </cell>
          <cell r="B756">
            <v>1978</v>
          </cell>
          <cell r="C756" t="str">
            <v>KENDRA</v>
          </cell>
          <cell r="D756">
            <v>1</v>
          </cell>
          <cell r="E756">
            <v>70</v>
          </cell>
          <cell r="F756">
            <v>990</v>
          </cell>
        </row>
        <row r="757">
          <cell r="A757" t="str">
            <v>AL011978</v>
          </cell>
          <cell r="B757">
            <v>1978</v>
          </cell>
          <cell r="C757" t="str">
            <v>STORM 1</v>
          </cell>
          <cell r="D757" t="str">
            <v>NA</v>
          </cell>
          <cell r="E757" t="str">
            <v>NA</v>
          </cell>
          <cell r="F757" t="str">
            <v>NA</v>
          </cell>
        </row>
        <row r="758">
          <cell r="A758" t="str">
            <v>AL111978</v>
          </cell>
          <cell r="B758">
            <v>1978</v>
          </cell>
          <cell r="C758" t="str">
            <v>STORM 11</v>
          </cell>
          <cell r="D758" t="str">
            <v>NA</v>
          </cell>
          <cell r="E758" t="str">
            <v>NA</v>
          </cell>
          <cell r="F758" t="str">
            <v>NA</v>
          </cell>
        </row>
        <row r="759">
          <cell r="A759" t="str">
            <v>AL121978</v>
          </cell>
          <cell r="B759">
            <v>1978</v>
          </cell>
          <cell r="C759" t="str">
            <v>STORM 12</v>
          </cell>
          <cell r="D759" t="str">
            <v>NA</v>
          </cell>
          <cell r="E759" t="str">
            <v>NA</v>
          </cell>
          <cell r="F759" t="str">
            <v>NA</v>
          </cell>
        </row>
        <row r="760">
          <cell r="A760" t="str">
            <v>AL141978</v>
          </cell>
          <cell r="B760">
            <v>1978</v>
          </cell>
          <cell r="C760" t="str">
            <v>STORM 14</v>
          </cell>
          <cell r="D760" t="str">
            <v>NA</v>
          </cell>
          <cell r="E760" t="str">
            <v>NA</v>
          </cell>
          <cell r="F760" t="str">
            <v>NA</v>
          </cell>
        </row>
        <row r="761">
          <cell r="A761" t="str">
            <v>AL171978</v>
          </cell>
          <cell r="B761">
            <v>1978</v>
          </cell>
          <cell r="C761" t="str">
            <v>STORM 17</v>
          </cell>
          <cell r="D761" t="str">
            <v>NA</v>
          </cell>
          <cell r="E761" t="str">
            <v>NA</v>
          </cell>
          <cell r="F761" t="str">
            <v>NA</v>
          </cell>
        </row>
        <row r="762">
          <cell r="A762" t="str">
            <v>AL181978</v>
          </cell>
          <cell r="B762">
            <v>1978</v>
          </cell>
          <cell r="C762" t="str">
            <v>STORM 18</v>
          </cell>
          <cell r="D762" t="str">
            <v>NA</v>
          </cell>
          <cell r="E762" t="str">
            <v>NA</v>
          </cell>
          <cell r="F762" t="str">
            <v>NA</v>
          </cell>
        </row>
        <row r="763">
          <cell r="A763" t="str">
            <v>AL021978</v>
          </cell>
          <cell r="B763">
            <v>1978</v>
          </cell>
          <cell r="C763" t="str">
            <v>STORM 2</v>
          </cell>
          <cell r="D763" t="str">
            <v>NA</v>
          </cell>
          <cell r="E763" t="str">
            <v>NA</v>
          </cell>
          <cell r="F763" t="str">
            <v>NA</v>
          </cell>
        </row>
        <row r="764">
          <cell r="A764" t="str">
            <v>AL211978</v>
          </cell>
          <cell r="B764">
            <v>1978</v>
          </cell>
          <cell r="C764" t="str">
            <v>STORM 21</v>
          </cell>
          <cell r="D764" t="str">
            <v>NA</v>
          </cell>
          <cell r="E764" t="str">
            <v>NA</v>
          </cell>
          <cell r="F764" t="str">
            <v>NA</v>
          </cell>
        </row>
        <row r="765">
          <cell r="A765" t="str">
            <v>AL221978</v>
          </cell>
          <cell r="B765">
            <v>1978</v>
          </cell>
          <cell r="C765" t="str">
            <v>STORM 22</v>
          </cell>
          <cell r="D765" t="str">
            <v>NA</v>
          </cell>
          <cell r="E765" t="str">
            <v>NA</v>
          </cell>
          <cell r="F765" t="str">
            <v>NA</v>
          </cell>
        </row>
        <row r="766">
          <cell r="A766" t="str">
            <v>AL241978</v>
          </cell>
          <cell r="B766">
            <v>1978</v>
          </cell>
          <cell r="C766" t="str">
            <v>STORM 24</v>
          </cell>
          <cell r="D766" t="str">
            <v>NA</v>
          </cell>
          <cell r="E766" t="str">
            <v>NA</v>
          </cell>
          <cell r="F766" t="str">
            <v>NA</v>
          </cell>
        </row>
        <row r="767">
          <cell r="A767" t="str">
            <v>AL031978</v>
          </cell>
          <cell r="B767">
            <v>1978</v>
          </cell>
          <cell r="C767" t="str">
            <v>STORM 3</v>
          </cell>
          <cell r="D767" t="str">
            <v>NA</v>
          </cell>
          <cell r="E767" t="str">
            <v>NA</v>
          </cell>
          <cell r="F767" t="str">
            <v>NA</v>
          </cell>
        </row>
        <row r="768">
          <cell r="A768" t="str">
            <v>AL071978</v>
          </cell>
          <cell r="B768">
            <v>1978</v>
          </cell>
          <cell r="C768" t="str">
            <v>STORM 7</v>
          </cell>
          <cell r="D768" t="str">
            <v>NA</v>
          </cell>
          <cell r="E768" t="str">
            <v>NA</v>
          </cell>
          <cell r="F768" t="str">
            <v>NA</v>
          </cell>
        </row>
        <row r="769">
          <cell r="A769" t="str">
            <v>AL081978</v>
          </cell>
          <cell r="B769">
            <v>1978</v>
          </cell>
          <cell r="C769" t="str">
            <v>STORM 8</v>
          </cell>
          <cell r="D769" t="str">
            <v>NA</v>
          </cell>
          <cell r="E769" t="str">
            <v>NA</v>
          </cell>
          <cell r="F769" t="str">
            <v>NA</v>
          </cell>
        </row>
        <row r="770">
          <cell r="A770" t="str">
            <v>AL051977</v>
          </cell>
          <cell r="B770">
            <v>1977</v>
          </cell>
          <cell r="C770" t="str">
            <v>ANITA</v>
          </cell>
          <cell r="D770">
            <v>5</v>
          </cell>
          <cell r="E770">
            <v>150</v>
          </cell>
          <cell r="F770">
            <v>926</v>
          </cell>
        </row>
        <row r="771">
          <cell r="A771" t="str">
            <v>AL061977</v>
          </cell>
          <cell r="B771">
            <v>1977</v>
          </cell>
          <cell r="C771" t="str">
            <v>BABE</v>
          </cell>
          <cell r="D771">
            <v>1</v>
          </cell>
          <cell r="E771">
            <v>65</v>
          </cell>
          <cell r="F771">
            <v>995</v>
          </cell>
        </row>
        <row r="772">
          <cell r="A772" t="str">
            <v>AL071977</v>
          </cell>
          <cell r="B772">
            <v>1977</v>
          </cell>
          <cell r="C772" t="str">
            <v>CLARA</v>
          </cell>
          <cell r="D772">
            <v>1</v>
          </cell>
          <cell r="E772">
            <v>65</v>
          </cell>
          <cell r="F772">
            <v>993</v>
          </cell>
        </row>
        <row r="773">
          <cell r="A773" t="str">
            <v>AL101977</v>
          </cell>
          <cell r="B773">
            <v>1977</v>
          </cell>
          <cell r="C773" t="str">
            <v>DOROTHY</v>
          </cell>
          <cell r="D773">
            <v>1</v>
          </cell>
          <cell r="E773">
            <v>75</v>
          </cell>
          <cell r="F773">
            <v>980</v>
          </cell>
        </row>
        <row r="774">
          <cell r="A774" t="str">
            <v>AL131977</v>
          </cell>
          <cell r="B774">
            <v>1977</v>
          </cell>
          <cell r="C774" t="str">
            <v>EVELYN</v>
          </cell>
          <cell r="D774">
            <v>1</v>
          </cell>
          <cell r="E774">
            <v>70</v>
          </cell>
          <cell r="F774">
            <v>994</v>
          </cell>
        </row>
        <row r="775">
          <cell r="A775" t="str">
            <v>AL141977</v>
          </cell>
          <cell r="B775">
            <v>1977</v>
          </cell>
          <cell r="C775" t="str">
            <v>FRIEDA</v>
          </cell>
          <cell r="D775" t="str">
            <v>NA</v>
          </cell>
          <cell r="E775" t="str">
            <v>NA</v>
          </cell>
          <cell r="F775" t="str">
            <v>NA</v>
          </cell>
        </row>
        <row r="776">
          <cell r="A776" t="str">
            <v>AL011977</v>
          </cell>
          <cell r="B776">
            <v>1977</v>
          </cell>
          <cell r="C776" t="str">
            <v>STORM 1</v>
          </cell>
          <cell r="D776" t="str">
            <v>NA</v>
          </cell>
          <cell r="E776" t="str">
            <v>NA</v>
          </cell>
          <cell r="F776" t="str">
            <v>NA</v>
          </cell>
        </row>
        <row r="777">
          <cell r="A777" t="str">
            <v>AL111977</v>
          </cell>
          <cell r="B777">
            <v>1977</v>
          </cell>
          <cell r="C777" t="str">
            <v>STORM 11</v>
          </cell>
          <cell r="D777" t="str">
            <v>NA</v>
          </cell>
          <cell r="E777" t="str">
            <v>NA</v>
          </cell>
          <cell r="F777" t="str">
            <v>NA</v>
          </cell>
        </row>
        <row r="778">
          <cell r="A778" t="str">
            <v>AL121977</v>
          </cell>
          <cell r="B778">
            <v>1977</v>
          </cell>
          <cell r="C778" t="str">
            <v>STORM 12</v>
          </cell>
          <cell r="D778" t="str">
            <v>NA</v>
          </cell>
          <cell r="E778" t="str">
            <v>NA</v>
          </cell>
          <cell r="F778" t="str">
            <v>NA</v>
          </cell>
        </row>
        <row r="779">
          <cell r="A779" t="str">
            <v>AL151977</v>
          </cell>
          <cell r="B779">
            <v>1977</v>
          </cell>
          <cell r="C779" t="str">
            <v>STORM 15</v>
          </cell>
          <cell r="D779" t="str">
            <v>NA</v>
          </cell>
          <cell r="E779" t="str">
            <v>NA</v>
          </cell>
          <cell r="F779" t="str">
            <v>NA</v>
          </cell>
        </row>
        <row r="780">
          <cell r="A780" t="str">
            <v>AL021977</v>
          </cell>
          <cell r="B780">
            <v>1977</v>
          </cell>
          <cell r="C780" t="str">
            <v>STORM 2</v>
          </cell>
          <cell r="D780" t="str">
            <v>NA</v>
          </cell>
          <cell r="E780" t="str">
            <v>NA</v>
          </cell>
          <cell r="F780" t="str">
            <v>NA</v>
          </cell>
        </row>
        <row r="781">
          <cell r="A781" t="str">
            <v>AL031977</v>
          </cell>
          <cell r="B781">
            <v>1977</v>
          </cell>
          <cell r="C781" t="str">
            <v>STORM 3</v>
          </cell>
          <cell r="D781" t="str">
            <v>NA</v>
          </cell>
          <cell r="E781" t="str">
            <v>NA</v>
          </cell>
          <cell r="F781" t="str">
            <v>NA</v>
          </cell>
        </row>
        <row r="782">
          <cell r="A782" t="str">
            <v>AL041977</v>
          </cell>
          <cell r="B782">
            <v>1977</v>
          </cell>
          <cell r="C782" t="str">
            <v>STORM 4</v>
          </cell>
          <cell r="D782" t="str">
            <v>NA</v>
          </cell>
          <cell r="E782" t="str">
            <v>NA</v>
          </cell>
          <cell r="F782" t="str">
            <v>NA</v>
          </cell>
        </row>
        <row r="783">
          <cell r="A783" t="str">
            <v>AL081977</v>
          </cell>
          <cell r="B783">
            <v>1977</v>
          </cell>
          <cell r="C783" t="str">
            <v>STORM 8</v>
          </cell>
          <cell r="D783" t="str">
            <v>NA</v>
          </cell>
          <cell r="E783" t="str">
            <v>NA</v>
          </cell>
          <cell r="F783" t="str">
            <v>NA</v>
          </cell>
        </row>
        <row r="784">
          <cell r="A784" t="str">
            <v>AL091977</v>
          </cell>
          <cell r="B784">
            <v>1977</v>
          </cell>
          <cell r="C784" t="str">
            <v>STORM 9</v>
          </cell>
          <cell r="D784" t="str">
            <v>NA</v>
          </cell>
          <cell r="E784" t="str">
            <v>NA</v>
          </cell>
          <cell r="F784" t="str">
            <v>NA</v>
          </cell>
        </row>
        <row r="785">
          <cell r="A785" t="str">
            <v>AL061976</v>
          </cell>
          <cell r="B785">
            <v>1976</v>
          </cell>
          <cell r="C785" t="str">
            <v>ANNA</v>
          </cell>
          <cell r="D785" t="str">
            <v>NA</v>
          </cell>
          <cell r="E785" t="str">
            <v>NA</v>
          </cell>
          <cell r="F785" t="str">
            <v>NA</v>
          </cell>
        </row>
        <row r="786">
          <cell r="A786" t="str">
            <v>AL071976</v>
          </cell>
          <cell r="B786">
            <v>1976</v>
          </cell>
          <cell r="C786" t="str">
            <v>BELLE</v>
          </cell>
          <cell r="D786">
            <v>3</v>
          </cell>
          <cell r="E786">
            <v>105</v>
          </cell>
          <cell r="F786">
            <v>957</v>
          </cell>
        </row>
        <row r="787">
          <cell r="A787" t="str">
            <v>AL091976</v>
          </cell>
          <cell r="B787">
            <v>1976</v>
          </cell>
          <cell r="C787" t="str">
            <v>CANDICE</v>
          </cell>
          <cell r="D787">
            <v>1</v>
          </cell>
          <cell r="E787">
            <v>80</v>
          </cell>
          <cell r="F787">
            <v>964</v>
          </cell>
        </row>
        <row r="788">
          <cell r="A788" t="str">
            <v>AL081976</v>
          </cell>
          <cell r="B788">
            <v>1976</v>
          </cell>
          <cell r="C788" t="str">
            <v>DOTTIE</v>
          </cell>
          <cell r="D788" t="str">
            <v>NA</v>
          </cell>
          <cell r="E788" t="str">
            <v>NA</v>
          </cell>
          <cell r="F788" t="str">
            <v>NA</v>
          </cell>
        </row>
        <row r="789">
          <cell r="A789" t="str">
            <v>AL101976</v>
          </cell>
          <cell r="B789">
            <v>1976</v>
          </cell>
          <cell r="C789" t="str">
            <v>EMMY</v>
          </cell>
          <cell r="D789">
            <v>2</v>
          </cell>
          <cell r="E789">
            <v>90</v>
          </cell>
          <cell r="F789">
            <v>974</v>
          </cell>
        </row>
        <row r="790">
          <cell r="A790" t="str">
            <v>AL111976</v>
          </cell>
          <cell r="B790">
            <v>1976</v>
          </cell>
          <cell r="C790" t="str">
            <v>FRANCES</v>
          </cell>
          <cell r="D790">
            <v>3</v>
          </cell>
          <cell r="E790">
            <v>100</v>
          </cell>
          <cell r="F790">
            <v>963</v>
          </cell>
        </row>
        <row r="791">
          <cell r="A791" t="str">
            <v>AL171976</v>
          </cell>
          <cell r="B791">
            <v>1976</v>
          </cell>
          <cell r="C791" t="str">
            <v>GLORIA</v>
          </cell>
          <cell r="D791">
            <v>2</v>
          </cell>
          <cell r="E791">
            <v>90</v>
          </cell>
          <cell r="F791">
            <v>970</v>
          </cell>
        </row>
        <row r="792">
          <cell r="A792" t="str">
            <v>AL211976</v>
          </cell>
          <cell r="B792">
            <v>1976</v>
          </cell>
          <cell r="C792" t="str">
            <v>HOLLY</v>
          </cell>
          <cell r="D792">
            <v>1</v>
          </cell>
          <cell r="E792">
            <v>65</v>
          </cell>
          <cell r="F792">
            <v>990</v>
          </cell>
        </row>
        <row r="793">
          <cell r="A793" t="str">
            <v>AL011976</v>
          </cell>
          <cell r="B793">
            <v>1976</v>
          </cell>
          <cell r="C793" t="str">
            <v>STORM 1</v>
          </cell>
          <cell r="D793" t="str">
            <v>NA</v>
          </cell>
          <cell r="E793" t="str">
            <v>NA</v>
          </cell>
          <cell r="F793" t="str">
            <v>NA</v>
          </cell>
        </row>
        <row r="794">
          <cell r="A794" t="str">
            <v>AL121976</v>
          </cell>
          <cell r="B794">
            <v>1976</v>
          </cell>
          <cell r="C794" t="str">
            <v>STORM 12</v>
          </cell>
          <cell r="D794" t="str">
            <v>NA</v>
          </cell>
          <cell r="E794" t="str">
            <v>NA</v>
          </cell>
          <cell r="F794" t="str">
            <v>NA</v>
          </cell>
        </row>
        <row r="795">
          <cell r="A795" t="str">
            <v>AL131976</v>
          </cell>
          <cell r="B795">
            <v>1976</v>
          </cell>
          <cell r="C795" t="str">
            <v>STORM 13</v>
          </cell>
          <cell r="D795" t="str">
            <v>NA</v>
          </cell>
          <cell r="E795" t="str">
            <v>NA</v>
          </cell>
          <cell r="F795" t="str">
            <v>NA</v>
          </cell>
        </row>
        <row r="796">
          <cell r="A796" t="str">
            <v>AL141976</v>
          </cell>
          <cell r="B796">
            <v>1976</v>
          </cell>
          <cell r="C796" t="str">
            <v>STORM 14</v>
          </cell>
          <cell r="D796" t="str">
            <v>NA</v>
          </cell>
          <cell r="E796" t="str">
            <v>NA</v>
          </cell>
          <cell r="F796" t="str">
            <v>NA</v>
          </cell>
        </row>
        <row r="797">
          <cell r="A797" t="str">
            <v>AL151976</v>
          </cell>
          <cell r="B797">
            <v>1976</v>
          </cell>
          <cell r="C797" t="str">
            <v>STORM 15</v>
          </cell>
          <cell r="D797" t="str">
            <v>NA</v>
          </cell>
          <cell r="E797" t="str">
            <v>NA</v>
          </cell>
          <cell r="F797" t="str">
            <v>NA</v>
          </cell>
        </row>
        <row r="798">
          <cell r="A798" t="str">
            <v>AL161976</v>
          </cell>
          <cell r="B798">
            <v>1976</v>
          </cell>
          <cell r="C798" t="str">
            <v>STORM 16</v>
          </cell>
          <cell r="D798" t="str">
            <v>NA</v>
          </cell>
          <cell r="E798" t="str">
            <v>NA</v>
          </cell>
          <cell r="F798" t="str">
            <v>NA</v>
          </cell>
        </row>
        <row r="799">
          <cell r="A799" t="str">
            <v>AL181976</v>
          </cell>
          <cell r="B799">
            <v>1976</v>
          </cell>
          <cell r="C799" t="str">
            <v>STORM 18</v>
          </cell>
          <cell r="D799" t="str">
            <v>NA</v>
          </cell>
          <cell r="E799" t="str">
            <v>NA</v>
          </cell>
          <cell r="F799" t="str">
            <v>NA</v>
          </cell>
        </row>
        <row r="800">
          <cell r="A800" t="str">
            <v>AL191976</v>
          </cell>
          <cell r="B800">
            <v>1976</v>
          </cell>
          <cell r="C800" t="str">
            <v>STORM 19</v>
          </cell>
          <cell r="D800" t="str">
            <v>NA</v>
          </cell>
          <cell r="E800" t="str">
            <v>NA</v>
          </cell>
          <cell r="F800" t="str">
            <v>NA</v>
          </cell>
        </row>
        <row r="801">
          <cell r="A801" t="str">
            <v>AL021976</v>
          </cell>
          <cell r="B801">
            <v>1976</v>
          </cell>
          <cell r="C801" t="str">
            <v>STORM 2</v>
          </cell>
          <cell r="D801" t="str">
            <v>NA</v>
          </cell>
          <cell r="E801" t="str">
            <v>NA</v>
          </cell>
          <cell r="F801" t="str">
            <v>NA</v>
          </cell>
        </row>
        <row r="802">
          <cell r="A802" t="str">
            <v>AL201976</v>
          </cell>
          <cell r="B802">
            <v>1976</v>
          </cell>
          <cell r="C802" t="str">
            <v>STORM 20</v>
          </cell>
          <cell r="D802" t="str">
            <v>NA</v>
          </cell>
          <cell r="E802" t="str">
            <v>NA</v>
          </cell>
          <cell r="F802" t="str">
            <v>NA</v>
          </cell>
        </row>
        <row r="803">
          <cell r="A803" t="str">
            <v>AL031976</v>
          </cell>
          <cell r="B803">
            <v>1976</v>
          </cell>
          <cell r="C803" t="str">
            <v>STORM 3</v>
          </cell>
          <cell r="D803" t="str">
            <v>NA</v>
          </cell>
          <cell r="E803" t="str">
            <v>NA</v>
          </cell>
          <cell r="F803" t="str">
            <v>NA</v>
          </cell>
        </row>
        <row r="804">
          <cell r="A804" t="str">
            <v>AL041976</v>
          </cell>
          <cell r="B804">
            <v>1976</v>
          </cell>
          <cell r="C804" t="str">
            <v>STORM 4</v>
          </cell>
          <cell r="D804" t="str">
            <v>NA</v>
          </cell>
          <cell r="E804" t="str">
            <v>NA</v>
          </cell>
          <cell r="F804" t="str">
            <v>NA</v>
          </cell>
        </row>
        <row r="805">
          <cell r="A805" t="str">
            <v>AL051976</v>
          </cell>
          <cell r="B805">
            <v>1976</v>
          </cell>
          <cell r="C805" t="str">
            <v>STORM 5</v>
          </cell>
          <cell r="D805" t="str">
            <v>NA</v>
          </cell>
          <cell r="E805" t="str">
            <v>NA</v>
          </cell>
          <cell r="F805" t="str">
            <v>NA</v>
          </cell>
        </row>
        <row r="806">
          <cell r="A806" t="str">
            <v>AL021975</v>
          </cell>
          <cell r="B806">
            <v>1975</v>
          </cell>
          <cell r="C806" t="str">
            <v>AMY</v>
          </cell>
          <cell r="D806" t="str">
            <v>NA</v>
          </cell>
          <cell r="E806" t="str">
            <v>NA</v>
          </cell>
          <cell r="F806" t="str">
            <v>NA</v>
          </cell>
        </row>
        <row r="807">
          <cell r="A807" t="str">
            <v>AL041975</v>
          </cell>
          <cell r="B807">
            <v>1975</v>
          </cell>
          <cell r="C807" t="str">
            <v>BLANCHE</v>
          </cell>
          <cell r="D807">
            <v>1</v>
          </cell>
          <cell r="E807">
            <v>75</v>
          </cell>
          <cell r="F807">
            <v>980</v>
          </cell>
        </row>
        <row r="808">
          <cell r="A808" t="str">
            <v>AL071975</v>
          </cell>
          <cell r="B808">
            <v>1975</v>
          </cell>
          <cell r="C808" t="str">
            <v>CAROLINE</v>
          </cell>
          <cell r="D808">
            <v>3</v>
          </cell>
          <cell r="E808">
            <v>100</v>
          </cell>
          <cell r="F808">
            <v>963</v>
          </cell>
        </row>
        <row r="809">
          <cell r="A809" t="str">
            <v>AL081975</v>
          </cell>
          <cell r="B809">
            <v>1975</v>
          </cell>
          <cell r="C809" t="str">
            <v>DORIS</v>
          </cell>
          <cell r="D809">
            <v>2</v>
          </cell>
          <cell r="E809">
            <v>95</v>
          </cell>
          <cell r="F809">
            <v>965</v>
          </cell>
        </row>
        <row r="810">
          <cell r="A810" t="str">
            <v>AL131975</v>
          </cell>
          <cell r="B810">
            <v>1975</v>
          </cell>
          <cell r="C810" t="str">
            <v>ELOISE</v>
          </cell>
          <cell r="D810">
            <v>3</v>
          </cell>
          <cell r="E810">
            <v>110</v>
          </cell>
          <cell r="F810">
            <v>955</v>
          </cell>
        </row>
        <row r="811">
          <cell r="A811" t="str">
            <v>AL141975</v>
          </cell>
          <cell r="B811">
            <v>1975</v>
          </cell>
          <cell r="C811" t="str">
            <v>FAYE</v>
          </cell>
          <cell r="D811">
            <v>2</v>
          </cell>
          <cell r="E811">
            <v>90</v>
          </cell>
          <cell r="F811">
            <v>977</v>
          </cell>
        </row>
        <row r="812">
          <cell r="A812" t="str">
            <v>AL151975</v>
          </cell>
          <cell r="B812">
            <v>1975</v>
          </cell>
          <cell r="C812" t="str">
            <v>GLADYS</v>
          </cell>
          <cell r="D812">
            <v>4</v>
          </cell>
          <cell r="E812">
            <v>120</v>
          </cell>
          <cell r="F812">
            <v>939</v>
          </cell>
        </row>
        <row r="813">
          <cell r="A813" t="str">
            <v>AL191975</v>
          </cell>
          <cell r="B813">
            <v>1975</v>
          </cell>
          <cell r="C813" t="str">
            <v>HALLIE</v>
          </cell>
          <cell r="D813" t="str">
            <v>NA</v>
          </cell>
          <cell r="E813" t="str">
            <v>NA</v>
          </cell>
          <cell r="F813" t="str">
            <v>NA</v>
          </cell>
        </row>
        <row r="814">
          <cell r="A814" t="str">
            <v>AL011975</v>
          </cell>
          <cell r="B814">
            <v>1975</v>
          </cell>
          <cell r="C814" t="str">
            <v>STORM 1</v>
          </cell>
          <cell r="D814" t="str">
            <v>NA</v>
          </cell>
          <cell r="E814" t="str">
            <v>NA</v>
          </cell>
          <cell r="F814" t="str">
            <v>NA</v>
          </cell>
        </row>
        <row r="815">
          <cell r="A815" t="str">
            <v>AL101975</v>
          </cell>
          <cell r="B815">
            <v>1975</v>
          </cell>
          <cell r="C815" t="str">
            <v>STORM 10</v>
          </cell>
          <cell r="D815" t="str">
            <v>NA</v>
          </cell>
          <cell r="E815" t="str">
            <v>NA</v>
          </cell>
          <cell r="F815" t="str">
            <v>NA</v>
          </cell>
        </row>
        <row r="816">
          <cell r="A816" t="str">
            <v>AL111975</v>
          </cell>
          <cell r="B816">
            <v>1975</v>
          </cell>
          <cell r="C816" t="str">
            <v>STORM 11</v>
          </cell>
          <cell r="D816" t="str">
            <v>NA</v>
          </cell>
          <cell r="E816" t="str">
            <v>NA</v>
          </cell>
          <cell r="F816" t="str">
            <v>NA</v>
          </cell>
        </row>
        <row r="817">
          <cell r="A817" t="str">
            <v>AL121975</v>
          </cell>
          <cell r="B817">
            <v>1975</v>
          </cell>
          <cell r="C817" t="str">
            <v>STORM 12</v>
          </cell>
          <cell r="D817" t="str">
            <v>NA</v>
          </cell>
          <cell r="E817" t="str">
            <v>NA</v>
          </cell>
          <cell r="F817" t="str">
            <v>NA</v>
          </cell>
        </row>
        <row r="818">
          <cell r="A818" t="str">
            <v>AL161975</v>
          </cell>
          <cell r="B818">
            <v>1975</v>
          </cell>
          <cell r="C818" t="str">
            <v>STORM 16</v>
          </cell>
          <cell r="D818" t="str">
            <v>NA</v>
          </cell>
          <cell r="E818" t="str">
            <v>NA</v>
          </cell>
          <cell r="F818" t="str">
            <v>NA</v>
          </cell>
        </row>
        <row r="819">
          <cell r="A819" t="str">
            <v>AL171975</v>
          </cell>
          <cell r="B819">
            <v>1975</v>
          </cell>
          <cell r="C819" t="str">
            <v>STORM 17</v>
          </cell>
          <cell r="D819" t="str">
            <v>NA</v>
          </cell>
          <cell r="E819" t="str">
            <v>NA</v>
          </cell>
          <cell r="F819" t="str">
            <v>NA</v>
          </cell>
        </row>
        <row r="820">
          <cell r="A820" t="str">
            <v>AL181975</v>
          </cell>
          <cell r="B820">
            <v>1975</v>
          </cell>
          <cell r="C820" t="str">
            <v>STORM 18</v>
          </cell>
          <cell r="D820" t="str">
            <v>NA</v>
          </cell>
          <cell r="E820" t="str">
            <v>NA</v>
          </cell>
          <cell r="F820" t="str">
            <v>NA</v>
          </cell>
        </row>
        <row r="821">
          <cell r="A821" t="str">
            <v>AL201975</v>
          </cell>
          <cell r="B821">
            <v>1975</v>
          </cell>
          <cell r="C821" t="str">
            <v>STORM 20</v>
          </cell>
          <cell r="D821" t="str">
            <v>NA</v>
          </cell>
          <cell r="E821" t="str">
            <v>NA</v>
          </cell>
          <cell r="F821" t="str">
            <v>NA</v>
          </cell>
        </row>
        <row r="822">
          <cell r="A822" t="str">
            <v>AL211975</v>
          </cell>
          <cell r="B822">
            <v>1975</v>
          </cell>
          <cell r="C822" t="str">
            <v>STORM 21</v>
          </cell>
          <cell r="D822" t="str">
            <v>NA</v>
          </cell>
          <cell r="E822" t="str">
            <v>NA</v>
          </cell>
          <cell r="F822" t="str">
            <v>NA</v>
          </cell>
        </row>
        <row r="823">
          <cell r="A823" t="str">
            <v>AL221975</v>
          </cell>
          <cell r="B823">
            <v>1975</v>
          </cell>
          <cell r="C823" t="str">
            <v>STORM 22</v>
          </cell>
          <cell r="D823" t="str">
            <v>NA</v>
          </cell>
          <cell r="E823" t="str">
            <v>NA</v>
          </cell>
          <cell r="F823" t="str">
            <v>NA</v>
          </cell>
        </row>
        <row r="824">
          <cell r="A824" t="str">
            <v>AL231975</v>
          </cell>
          <cell r="B824">
            <v>1975</v>
          </cell>
          <cell r="C824" t="str">
            <v>STORM 23</v>
          </cell>
          <cell r="D824" t="str">
            <v>NA</v>
          </cell>
          <cell r="E824" t="str">
            <v>NA</v>
          </cell>
          <cell r="F824" t="str">
            <v>NA</v>
          </cell>
        </row>
        <row r="825">
          <cell r="A825" t="str">
            <v>AL031975</v>
          </cell>
          <cell r="B825">
            <v>1975</v>
          </cell>
          <cell r="C825" t="str">
            <v>STORM 3</v>
          </cell>
          <cell r="D825" t="str">
            <v>NA</v>
          </cell>
          <cell r="E825" t="str">
            <v>NA</v>
          </cell>
          <cell r="F825" t="str">
            <v>NA</v>
          </cell>
        </row>
        <row r="826">
          <cell r="A826" t="str">
            <v>AL051975</v>
          </cell>
          <cell r="B826">
            <v>1975</v>
          </cell>
          <cell r="C826" t="str">
            <v>STORM 5</v>
          </cell>
          <cell r="D826" t="str">
            <v>NA</v>
          </cell>
          <cell r="E826" t="str">
            <v>NA</v>
          </cell>
          <cell r="F826" t="str">
            <v>NA</v>
          </cell>
        </row>
        <row r="827">
          <cell r="A827" t="str">
            <v>AL061975</v>
          </cell>
          <cell r="B827">
            <v>1975</v>
          </cell>
          <cell r="C827" t="str">
            <v>STORM 6</v>
          </cell>
          <cell r="D827" t="str">
            <v>NA</v>
          </cell>
          <cell r="E827" t="str">
            <v>NA</v>
          </cell>
          <cell r="F827" t="str">
            <v>NA</v>
          </cell>
        </row>
        <row r="828">
          <cell r="A828" t="str">
            <v>AL091975</v>
          </cell>
          <cell r="B828">
            <v>1975</v>
          </cell>
          <cell r="C828" t="str">
            <v>STORM 9</v>
          </cell>
          <cell r="D828" t="str">
            <v>NA</v>
          </cell>
          <cell r="E828" t="str">
            <v>NA</v>
          </cell>
          <cell r="F828" t="str">
            <v>NA</v>
          </cell>
        </row>
        <row r="829">
          <cell r="A829" t="str">
            <v>AL071974</v>
          </cell>
          <cell r="B829">
            <v>1974</v>
          </cell>
          <cell r="C829" t="str">
            <v>ALMA</v>
          </cell>
          <cell r="D829" t="str">
            <v>NA</v>
          </cell>
          <cell r="E829" t="str">
            <v>NA</v>
          </cell>
          <cell r="F829" t="str">
            <v>NA</v>
          </cell>
        </row>
        <row r="830">
          <cell r="A830" t="str">
            <v>AL091974</v>
          </cell>
          <cell r="B830">
            <v>1974</v>
          </cell>
          <cell r="C830" t="str">
            <v>BECKY</v>
          </cell>
          <cell r="D830">
            <v>3</v>
          </cell>
          <cell r="E830">
            <v>100</v>
          </cell>
          <cell r="F830">
            <v>977</v>
          </cell>
        </row>
        <row r="831">
          <cell r="A831" t="str">
            <v>AL101974</v>
          </cell>
          <cell r="B831">
            <v>1974</v>
          </cell>
          <cell r="C831" t="str">
            <v>CARMEN</v>
          </cell>
          <cell r="D831">
            <v>4</v>
          </cell>
          <cell r="E831">
            <v>130</v>
          </cell>
          <cell r="F831">
            <v>928</v>
          </cell>
        </row>
        <row r="832">
          <cell r="A832" t="str">
            <v>AL121974</v>
          </cell>
          <cell r="B832">
            <v>1974</v>
          </cell>
          <cell r="C832" t="str">
            <v>DOLLY</v>
          </cell>
          <cell r="D832" t="str">
            <v>NA</v>
          </cell>
          <cell r="E832" t="str">
            <v>NA</v>
          </cell>
          <cell r="F832" t="str">
            <v>NA</v>
          </cell>
        </row>
        <row r="833">
          <cell r="A833" t="str">
            <v>AL131974</v>
          </cell>
          <cell r="B833">
            <v>1974</v>
          </cell>
          <cell r="C833" t="str">
            <v>ELAINE</v>
          </cell>
          <cell r="D833" t="str">
            <v>NA</v>
          </cell>
          <cell r="E833" t="str">
            <v>NA</v>
          </cell>
          <cell r="F833" t="str">
            <v>NA</v>
          </cell>
        </row>
        <row r="834">
          <cell r="A834" t="str">
            <v>AL141974</v>
          </cell>
          <cell r="B834">
            <v>1974</v>
          </cell>
          <cell r="C834" t="str">
            <v>FIFI</v>
          </cell>
          <cell r="D834">
            <v>2</v>
          </cell>
          <cell r="E834">
            <v>95</v>
          </cell>
          <cell r="F834">
            <v>971</v>
          </cell>
        </row>
        <row r="835">
          <cell r="A835" t="str">
            <v>AL171974</v>
          </cell>
          <cell r="B835">
            <v>1974</v>
          </cell>
          <cell r="C835" t="str">
            <v>GERTRUDE</v>
          </cell>
          <cell r="D835">
            <v>1</v>
          </cell>
          <cell r="E835">
            <v>65</v>
          </cell>
          <cell r="F835">
            <v>999</v>
          </cell>
        </row>
        <row r="836">
          <cell r="A836" t="str">
            <v>AL011974</v>
          </cell>
          <cell r="B836">
            <v>1974</v>
          </cell>
          <cell r="C836" t="str">
            <v>STORM 1</v>
          </cell>
          <cell r="D836" t="str">
            <v>NA</v>
          </cell>
          <cell r="E836" t="str">
            <v>NA</v>
          </cell>
          <cell r="F836" t="str">
            <v>NA</v>
          </cell>
        </row>
        <row r="837">
          <cell r="A837" t="str">
            <v>AL111974</v>
          </cell>
          <cell r="B837">
            <v>1974</v>
          </cell>
          <cell r="C837" t="str">
            <v>STORM 11</v>
          </cell>
          <cell r="D837" t="str">
            <v>NA</v>
          </cell>
          <cell r="E837" t="str">
            <v>NA</v>
          </cell>
          <cell r="F837" t="str">
            <v>NA</v>
          </cell>
        </row>
        <row r="838">
          <cell r="A838" t="str">
            <v>AL151974</v>
          </cell>
          <cell r="B838">
            <v>1974</v>
          </cell>
          <cell r="C838" t="str">
            <v>STORM 15</v>
          </cell>
          <cell r="D838" t="str">
            <v>NA</v>
          </cell>
          <cell r="E838" t="str">
            <v>NA</v>
          </cell>
          <cell r="F838" t="str">
            <v>NA</v>
          </cell>
        </row>
        <row r="839">
          <cell r="A839" t="str">
            <v>AL161974</v>
          </cell>
          <cell r="B839">
            <v>1974</v>
          </cell>
          <cell r="C839" t="str">
            <v>STORM 16</v>
          </cell>
          <cell r="D839" t="str">
            <v>NA</v>
          </cell>
          <cell r="E839" t="str">
            <v>NA</v>
          </cell>
          <cell r="F839" t="str">
            <v>NA</v>
          </cell>
        </row>
        <row r="840">
          <cell r="A840" t="str">
            <v>AL181974</v>
          </cell>
          <cell r="B840">
            <v>1974</v>
          </cell>
          <cell r="C840" t="str">
            <v>STORM 18</v>
          </cell>
          <cell r="D840" t="str">
            <v>NA</v>
          </cell>
          <cell r="E840" t="str">
            <v>NA</v>
          </cell>
          <cell r="F840" t="str">
            <v>NA</v>
          </cell>
        </row>
        <row r="841">
          <cell r="A841" t="str">
            <v>AL191974</v>
          </cell>
          <cell r="B841">
            <v>1974</v>
          </cell>
          <cell r="C841" t="str">
            <v>STORM 19</v>
          </cell>
          <cell r="D841" t="str">
            <v>NA</v>
          </cell>
          <cell r="E841" t="str">
            <v>NA</v>
          </cell>
          <cell r="F841" t="str">
            <v>NA</v>
          </cell>
        </row>
        <row r="842">
          <cell r="A842" t="str">
            <v>AL021974</v>
          </cell>
          <cell r="B842">
            <v>1974</v>
          </cell>
          <cell r="C842" t="str">
            <v>STORM 2</v>
          </cell>
          <cell r="D842" t="str">
            <v>NA</v>
          </cell>
          <cell r="E842" t="str">
            <v>NA</v>
          </cell>
          <cell r="F842" t="str">
            <v>NA</v>
          </cell>
        </row>
        <row r="843">
          <cell r="A843" t="str">
            <v>AL201974</v>
          </cell>
          <cell r="B843">
            <v>1974</v>
          </cell>
          <cell r="C843" t="str">
            <v>STORM 20</v>
          </cell>
          <cell r="D843" t="str">
            <v>NA</v>
          </cell>
          <cell r="E843" t="str">
            <v>NA</v>
          </cell>
          <cell r="F843" t="str">
            <v>NA</v>
          </cell>
        </row>
        <row r="844">
          <cell r="A844" t="str">
            <v>AL031974</v>
          </cell>
          <cell r="B844">
            <v>1974</v>
          </cell>
          <cell r="C844" t="str">
            <v>STORM 3</v>
          </cell>
          <cell r="D844" t="str">
            <v>NA</v>
          </cell>
          <cell r="E844" t="str">
            <v>NA</v>
          </cell>
          <cell r="F844" t="str">
            <v>NA</v>
          </cell>
        </row>
        <row r="845">
          <cell r="A845" t="str">
            <v>AL041974</v>
          </cell>
          <cell r="B845">
            <v>1974</v>
          </cell>
          <cell r="C845" t="str">
            <v>STORM 4</v>
          </cell>
          <cell r="D845" t="str">
            <v>NA</v>
          </cell>
          <cell r="E845" t="str">
            <v>NA</v>
          </cell>
          <cell r="F845" t="str">
            <v>NA</v>
          </cell>
        </row>
        <row r="846">
          <cell r="A846" t="str">
            <v>AL051974</v>
          </cell>
          <cell r="B846">
            <v>1974</v>
          </cell>
          <cell r="C846" t="str">
            <v>STORM 5</v>
          </cell>
          <cell r="D846" t="str">
            <v>NA</v>
          </cell>
          <cell r="E846" t="str">
            <v>NA</v>
          </cell>
          <cell r="F846" t="str">
            <v>NA</v>
          </cell>
        </row>
        <row r="847">
          <cell r="A847" t="str">
            <v>AL061974</v>
          </cell>
          <cell r="B847">
            <v>1974</v>
          </cell>
          <cell r="C847" t="str">
            <v>STORM 6</v>
          </cell>
          <cell r="D847" t="str">
            <v>NA</v>
          </cell>
          <cell r="E847" t="str">
            <v>NA</v>
          </cell>
          <cell r="F847" t="str">
            <v>NA</v>
          </cell>
        </row>
        <row r="848">
          <cell r="A848" t="str">
            <v>AL081974</v>
          </cell>
          <cell r="B848">
            <v>1974</v>
          </cell>
          <cell r="C848" t="str">
            <v>STORM 8</v>
          </cell>
          <cell r="D848" t="str">
            <v>NA</v>
          </cell>
          <cell r="E848" t="str">
            <v>NA</v>
          </cell>
          <cell r="F848" t="str">
            <v>NA</v>
          </cell>
        </row>
        <row r="849">
          <cell r="A849" t="str">
            <v>AL061973</v>
          </cell>
          <cell r="B849">
            <v>1973</v>
          </cell>
          <cell r="C849" t="str">
            <v>ALFA</v>
          </cell>
          <cell r="D849" t="str">
            <v>NA</v>
          </cell>
          <cell r="E849" t="str">
            <v>NA</v>
          </cell>
          <cell r="F849" t="str">
            <v>NA</v>
          </cell>
        </row>
        <row r="850">
          <cell r="A850" t="str">
            <v>AL041973</v>
          </cell>
          <cell r="B850">
            <v>1973</v>
          </cell>
          <cell r="C850" t="str">
            <v>ALICE</v>
          </cell>
          <cell r="D850">
            <v>1</v>
          </cell>
          <cell r="E850">
            <v>80</v>
          </cell>
          <cell r="F850">
            <v>986</v>
          </cell>
        </row>
        <row r="851">
          <cell r="A851" t="str">
            <v>AL081973</v>
          </cell>
          <cell r="B851">
            <v>1973</v>
          </cell>
          <cell r="C851" t="str">
            <v>BRENDA</v>
          </cell>
          <cell r="D851">
            <v>1</v>
          </cell>
          <cell r="E851">
            <v>80</v>
          </cell>
          <cell r="F851">
            <v>977</v>
          </cell>
        </row>
        <row r="852">
          <cell r="A852" t="str">
            <v>AL091973</v>
          </cell>
          <cell r="B852">
            <v>1973</v>
          </cell>
          <cell r="C852" t="str">
            <v>CHRISTINE</v>
          </cell>
          <cell r="D852" t="str">
            <v>NA</v>
          </cell>
          <cell r="E852" t="str">
            <v>NA</v>
          </cell>
          <cell r="F852" t="str">
            <v>NA</v>
          </cell>
        </row>
        <row r="853">
          <cell r="A853" t="str">
            <v>AL101973</v>
          </cell>
          <cell r="B853">
            <v>1973</v>
          </cell>
          <cell r="C853" t="str">
            <v>DELIA</v>
          </cell>
          <cell r="D853" t="str">
            <v>NA</v>
          </cell>
          <cell r="E853" t="str">
            <v>NA</v>
          </cell>
          <cell r="F853" t="str">
            <v>NA</v>
          </cell>
        </row>
        <row r="854">
          <cell r="A854" t="str">
            <v>AL121973</v>
          </cell>
          <cell r="B854">
            <v>1973</v>
          </cell>
          <cell r="C854" t="str">
            <v>ELLEN</v>
          </cell>
          <cell r="D854">
            <v>3</v>
          </cell>
          <cell r="E854">
            <v>100</v>
          </cell>
          <cell r="F854">
            <v>962</v>
          </cell>
        </row>
        <row r="855">
          <cell r="A855" t="str">
            <v>AL141973</v>
          </cell>
          <cell r="B855">
            <v>1973</v>
          </cell>
          <cell r="C855" t="str">
            <v>FRAN</v>
          </cell>
          <cell r="D855">
            <v>1</v>
          </cell>
          <cell r="E855">
            <v>70</v>
          </cell>
          <cell r="F855">
            <v>978</v>
          </cell>
        </row>
        <row r="856">
          <cell r="A856" t="str">
            <v>AL161973</v>
          </cell>
          <cell r="B856">
            <v>1973</v>
          </cell>
          <cell r="C856" t="str">
            <v>GILDA</v>
          </cell>
          <cell r="D856" t="str">
            <v>NA</v>
          </cell>
          <cell r="E856" t="str">
            <v>NA</v>
          </cell>
          <cell r="F856" t="str">
            <v>NA</v>
          </cell>
        </row>
        <row r="857">
          <cell r="A857" t="str">
            <v>AL011973</v>
          </cell>
          <cell r="B857">
            <v>1973</v>
          </cell>
          <cell r="C857" t="str">
            <v>STORM 1</v>
          </cell>
          <cell r="D857" t="str">
            <v>NA</v>
          </cell>
          <cell r="E857" t="str">
            <v>NA</v>
          </cell>
          <cell r="F857" t="str">
            <v>NA</v>
          </cell>
        </row>
        <row r="858">
          <cell r="A858" t="str">
            <v>AL111973</v>
          </cell>
          <cell r="B858">
            <v>1973</v>
          </cell>
          <cell r="C858" t="str">
            <v>STORM 11</v>
          </cell>
          <cell r="D858" t="str">
            <v>NA</v>
          </cell>
          <cell r="E858" t="str">
            <v>NA</v>
          </cell>
          <cell r="F858" t="str">
            <v>NA</v>
          </cell>
        </row>
        <row r="859">
          <cell r="A859" t="str">
            <v>AL131973</v>
          </cell>
          <cell r="B859">
            <v>1973</v>
          </cell>
          <cell r="C859" t="str">
            <v>STORM 13</v>
          </cell>
          <cell r="D859" t="str">
            <v>NA</v>
          </cell>
          <cell r="E859" t="str">
            <v>NA</v>
          </cell>
          <cell r="F859" t="str">
            <v>NA</v>
          </cell>
        </row>
        <row r="860">
          <cell r="A860" t="str">
            <v>AL151973</v>
          </cell>
          <cell r="B860">
            <v>1973</v>
          </cell>
          <cell r="C860" t="str">
            <v>STORM 15</v>
          </cell>
          <cell r="D860" t="str">
            <v>NA</v>
          </cell>
          <cell r="E860" t="str">
            <v>NA</v>
          </cell>
          <cell r="F860" t="str">
            <v>NA</v>
          </cell>
        </row>
        <row r="861">
          <cell r="A861" t="str">
            <v>AL171973</v>
          </cell>
          <cell r="B861">
            <v>1973</v>
          </cell>
          <cell r="C861" t="str">
            <v>STORM 17</v>
          </cell>
          <cell r="D861" t="str">
            <v>NA</v>
          </cell>
          <cell r="E861" t="str">
            <v>NA</v>
          </cell>
          <cell r="F861" t="str">
            <v>NA</v>
          </cell>
        </row>
        <row r="862">
          <cell r="A862" t="str">
            <v>AL021973</v>
          </cell>
          <cell r="B862">
            <v>1973</v>
          </cell>
          <cell r="C862" t="str">
            <v>STORM 2</v>
          </cell>
          <cell r="D862" t="str">
            <v>NA</v>
          </cell>
          <cell r="E862" t="str">
            <v>NA</v>
          </cell>
          <cell r="F862" t="str">
            <v>NA</v>
          </cell>
        </row>
        <row r="863">
          <cell r="A863" t="str">
            <v>AL031973</v>
          </cell>
          <cell r="B863">
            <v>1973</v>
          </cell>
          <cell r="C863" t="str">
            <v>STORM 3</v>
          </cell>
          <cell r="D863" t="str">
            <v>NA</v>
          </cell>
          <cell r="E863" t="str">
            <v>NA</v>
          </cell>
          <cell r="F863" t="str">
            <v>NA</v>
          </cell>
        </row>
        <row r="864">
          <cell r="A864" t="str">
            <v>AL051973</v>
          </cell>
          <cell r="B864">
            <v>1973</v>
          </cell>
          <cell r="C864" t="str">
            <v>STORM 5</v>
          </cell>
          <cell r="D864" t="str">
            <v>NA</v>
          </cell>
          <cell r="E864" t="str">
            <v>NA</v>
          </cell>
          <cell r="F864" t="str">
            <v>NA</v>
          </cell>
        </row>
        <row r="865">
          <cell r="A865" t="str">
            <v>AL071973</v>
          </cell>
          <cell r="B865">
            <v>1973</v>
          </cell>
          <cell r="C865" t="str">
            <v>STORM 7</v>
          </cell>
          <cell r="D865" t="str">
            <v>NA</v>
          </cell>
          <cell r="E865" t="str">
            <v>NA</v>
          </cell>
          <cell r="F865" t="str">
            <v>NA</v>
          </cell>
        </row>
        <row r="866">
          <cell r="A866" t="str">
            <v>AL021972</v>
          </cell>
          <cell r="B866">
            <v>1972</v>
          </cell>
          <cell r="C866" t="str">
            <v>AGNES</v>
          </cell>
          <cell r="D866">
            <v>1</v>
          </cell>
          <cell r="E866">
            <v>75</v>
          </cell>
          <cell r="F866">
            <v>978</v>
          </cell>
        </row>
        <row r="867">
          <cell r="A867" t="str">
            <v>AL011972</v>
          </cell>
          <cell r="B867">
            <v>1972</v>
          </cell>
          <cell r="C867" t="str">
            <v>ALPHA</v>
          </cell>
          <cell r="D867" t="str">
            <v>NA</v>
          </cell>
          <cell r="E867" t="str">
            <v>NA</v>
          </cell>
          <cell r="F867" t="str">
            <v>NA</v>
          </cell>
        </row>
        <row r="868">
          <cell r="A868" t="str">
            <v>AL101972</v>
          </cell>
          <cell r="B868">
            <v>1972</v>
          </cell>
          <cell r="C868" t="str">
            <v>BETTY</v>
          </cell>
          <cell r="D868">
            <v>2</v>
          </cell>
          <cell r="E868">
            <v>90</v>
          </cell>
          <cell r="F868">
            <v>976</v>
          </cell>
        </row>
        <row r="869">
          <cell r="A869" t="str">
            <v>AL111972</v>
          </cell>
          <cell r="B869">
            <v>1972</v>
          </cell>
          <cell r="C869" t="str">
            <v>CARRIE</v>
          </cell>
          <cell r="D869" t="str">
            <v>NA</v>
          </cell>
          <cell r="E869" t="str">
            <v>NA</v>
          </cell>
          <cell r="F869" t="str">
            <v>NA</v>
          </cell>
        </row>
        <row r="870">
          <cell r="A870" t="str">
            <v>AL141972</v>
          </cell>
          <cell r="B870">
            <v>1972</v>
          </cell>
          <cell r="C870" t="str">
            <v>CHARLIE</v>
          </cell>
          <cell r="D870" t="str">
            <v>NA</v>
          </cell>
          <cell r="E870" t="str">
            <v>NA</v>
          </cell>
          <cell r="F870" t="str">
            <v>NA</v>
          </cell>
        </row>
        <row r="871">
          <cell r="A871" t="str">
            <v>AL131972</v>
          </cell>
          <cell r="B871">
            <v>1972</v>
          </cell>
          <cell r="C871" t="str">
            <v>DAWN</v>
          </cell>
          <cell r="D871">
            <v>1</v>
          </cell>
          <cell r="E871">
            <v>70</v>
          </cell>
          <cell r="F871">
            <v>997</v>
          </cell>
        </row>
        <row r="872">
          <cell r="A872" t="str">
            <v>AL191972</v>
          </cell>
          <cell r="B872">
            <v>1972</v>
          </cell>
          <cell r="C872" t="str">
            <v>DELTA</v>
          </cell>
          <cell r="D872" t="str">
            <v>NA</v>
          </cell>
          <cell r="E872" t="str">
            <v>NA</v>
          </cell>
          <cell r="F872" t="str">
            <v>NA</v>
          </cell>
        </row>
        <row r="873">
          <cell r="A873" t="str">
            <v>AL121972</v>
          </cell>
          <cell r="B873">
            <v>1972</v>
          </cell>
          <cell r="C873" t="str">
            <v>STORM 12</v>
          </cell>
          <cell r="D873" t="str">
            <v>NA</v>
          </cell>
          <cell r="E873" t="str">
            <v>NA</v>
          </cell>
          <cell r="F873" t="str">
            <v>NA</v>
          </cell>
        </row>
        <row r="874">
          <cell r="A874" t="str">
            <v>AL151972</v>
          </cell>
          <cell r="B874">
            <v>1972</v>
          </cell>
          <cell r="C874" t="str">
            <v>STORM 15</v>
          </cell>
          <cell r="D874" t="str">
            <v>NA</v>
          </cell>
          <cell r="E874" t="str">
            <v>NA</v>
          </cell>
          <cell r="F874" t="str">
            <v>NA</v>
          </cell>
        </row>
        <row r="875">
          <cell r="A875" t="str">
            <v>AL161972</v>
          </cell>
          <cell r="B875">
            <v>1972</v>
          </cell>
          <cell r="C875" t="str">
            <v>STORM 16</v>
          </cell>
          <cell r="D875" t="str">
            <v>NA</v>
          </cell>
          <cell r="E875" t="str">
            <v>NA</v>
          </cell>
          <cell r="F875" t="str">
            <v>NA</v>
          </cell>
        </row>
        <row r="876">
          <cell r="A876" t="str">
            <v>AL171972</v>
          </cell>
          <cell r="B876">
            <v>1972</v>
          </cell>
          <cell r="C876" t="str">
            <v>STORM 17</v>
          </cell>
          <cell r="D876" t="str">
            <v>NA</v>
          </cell>
          <cell r="E876" t="str">
            <v>NA</v>
          </cell>
          <cell r="F876" t="str">
            <v>NA</v>
          </cell>
        </row>
        <row r="877">
          <cell r="A877" t="str">
            <v>AL181972</v>
          </cell>
          <cell r="B877">
            <v>1972</v>
          </cell>
          <cell r="C877" t="str">
            <v>STORM 18</v>
          </cell>
          <cell r="D877" t="str">
            <v>NA</v>
          </cell>
          <cell r="E877" t="str">
            <v>NA</v>
          </cell>
          <cell r="F877" t="str">
            <v>NA</v>
          </cell>
        </row>
        <row r="878">
          <cell r="A878" t="str">
            <v>AL031972</v>
          </cell>
          <cell r="B878">
            <v>1972</v>
          </cell>
          <cell r="C878" t="str">
            <v>STORM 3</v>
          </cell>
          <cell r="D878" t="str">
            <v>NA</v>
          </cell>
          <cell r="E878" t="str">
            <v>NA</v>
          </cell>
          <cell r="F878" t="str">
            <v>NA</v>
          </cell>
        </row>
        <row r="879">
          <cell r="A879" t="str">
            <v>AL041972</v>
          </cell>
          <cell r="B879">
            <v>1972</v>
          </cell>
          <cell r="C879" t="str">
            <v>STORM 4</v>
          </cell>
          <cell r="D879" t="str">
            <v>NA</v>
          </cell>
          <cell r="E879" t="str">
            <v>NA</v>
          </cell>
          <cell r="F879" t="str">
            <v>NA</v>
          </cell>
        </row>
        <row r="880">
          <cell r="A880" t="str">
            <v>AL051972</v>
          </cell>
          <cell r="B880">
            <v>1972</v>
          </cell>
          <cell r="C880" t="str">
            <v>STORM 5</v>
          </cell>
          <cell r="D880" t="str">
            <v>NA</v>
          </cell>
          <cell r="E880" t="str">
            <v>NA</v>
          </cell>
          <cell r="F880" t="str">
            <v>NA</v>
          </cell>
        </row>
        <row r="881">
          <cell r="A881" t="str">
            <v>AL061972</v>
          </cell>
          <cell r="B881">
            <v>1972</v>
          </cell>
          <cell r="C881" t="str">
            <v>STORM 6</v>
          </cell>
          <cell r="D881" t="str">
            <v>NA</v>
          </cell>
          <cell r="E881" t="str">
            <v>NA</v>
          </cell>
          <cell r="F881" t="str">
            <v>NA</v>
          </cell>
        </row>
        <row r="882">
          <cell r="A882" t="str">
            <v>AL071972</v>
          </cell>
          <cell r="B882">
            <v>1972</v>
          </cell>
          <cell r="C882" t="str">
            <v>STORM 7</v>
          </cell>
          <cell r="D882" t="str">
            <v>NA</v>
          </cell>
          <cell r="E882" t="str">
            <v>NA</v>
          </cell>
          <cell r="F882" t="str">
            <v>NA</v>
          </cell>
        </row>
        <row r="883">
          <cell r="A883" t="str">
            <v>AL081972</v>
          </cell>
          <cell r="B883">
            <v>1972</v>
          </cell>
          <cell r="C883" t="str">
            <v>STORM 8</v>
          </cell>
          <cell r="D883" t="str">
            <v>NA</v>
          </cell>
          <cell r="E883" t="str">
            <v>NA</v>
          </cell>
          <cell r="F883" t="str">
            <v>NA</v>
          </cell>
        </row>
        <row r="884">
          <cell r="A884" t="str">
            <v>AL091972</v>
          </cell>
          <cell r="B884">
            <v>1972</v>
          </cell>
          <cell r="C884" t="str">
            <v>STORM 9</v>
          </cell>
          <cell r="D884" t="str">
            <v>NA</v>
          </cell>
          <cell r="E884" t="str">
            <v>NA</v>
          </cell>
          <cell r="F884" t="str">
            <v>NA</v>
          </cell>
        </row>
        <row r="885">
          <cell r="A885" t="str">
            <v>AL011971</v>
          </cell>
          <cell r="B885">
            <v>1971</v>
          </cell>
          <cell r="C885" t="str">
            <v>ARLENE</v>
          </cell>
          <cell r="D885" t="str">
            <v>NA</v>
          </cell>
          <cell r="E885" t="str">
            <v>NA</v>
          </cell>
          <cell r="F885" t="str">
            <v>NA</v>
          </cell>
        </row>
        <row r="886">
          <cell r="A886" t="str">
            <v>AL061971</v>
          </cell>
          <cell r="B886">
            <v>1971</v>
          </cell>
          <cell r="C886" t="str">
            <v>BETH</v>
          </cell>
          <cell r="D886">
            <v>1</v>
          </cell>
          <cell r="E886">
            <v>75</v>
          </cell>
          <cell r="F886">
            <v>977</v>
          </cell>
        </row>
        <row r="887">
          <cell r="A887" t="str">
            <v>AL081971</v>
          </cell>
          <cell r="B887">
            <v>1971</v>
          </cell>
          <cell r="C887" t="str">
            <v>CHLOE</v>
          </cell>
          <cell r="D887" t="str">
            <v>NA</v>
          </cell>
          <cell r="E887" t="str">
            <v>NA</v>
          </cell>
          <cell r="F887" t="str">
            <v>NA</v>
          </cell>
        </row>
        <row r="888">
          <cell r="A888" t="str">
            <v>AL091971</v>
          </cell>
          <cell r="B888">
            <v>1971</v>
          </cell>
          <cell r="C888" t="str">
            <v>DORIA</v>
          </cell>
          <cell r="D888" t="str">
            <v>NA</v>
          </cell>
          <cell r="E888" t="str">
            <v>NA</v>
          </cell>
          <cell r="F888" t="str">
            <v>NA</v>
          </cell>
        </row>
        <row r="889">
          <cell r="A889" t="str">
            <v>AL131971</v>
          </cell>
          <cell r="B889">
            <v>1971</v>
          </cell>
          <cell r="C889" t="str">
            <v>EDITH</v>
          </cell>
          <cell r="D889">
            <v>5</v>
          </cell>
          <cell r="E889">
            <v>140</v>
          </cell>
          <cell r="F889">
            <v>943</v>
          </cell>
        </row>
        <row r="890">
          <cell r="A890" t="str">
            <v>AL111971</v>
          </cell>
          <cell r="B890">
            <v>1971</v>
          </cell>
          <cell r="C890" t="str">
            <v>FERN</v>
          </cell>
          <cell r="D890">
            <v>1</v>
          </cell>
          <cell r="E890">
            <v>80</v>
          </cell>
          <cell r="F890">
            <v>987</v>
          </cell>
        </row>
        <row r="891">
          <cell r="A891" t="str">
            <v>AL141971</v>
          </cell>
          <cell r="B891">
            <v>1971</v>
          </cell>
          <cell r="C891" t="str">
            <v>GINGER</v>
          </cell>
          <cell r="D891">
            <v>2</v>
          </cell>
          <cell r="E891">
            <v>95</v>
          </cell>
          <cell r="F891">
            <v>959</v>
          </cell>
        </row>
        <row r="892">
          <cell r="A892" t="str">
            <v>AL171971</v>
          </cell>
          <cell r="B892">
            <v>1971</v>
          </cell>
          <cell r="C892" t="str">
            <v>HEIDI</v>
          </cell>
          <cell r="D892" t="str">
            <v>NA</v>
          </cell>
          <cell r="E892" t="str">
            <v>NA</v>
          </cell>
          <cell r="F892" t="str">
            <v>NA</v>
          </cell>
        </row>
        <row r="893">
          <cell r="A893" t="str">
            <v>AL181971</v>
          </cell>
          <cell r="B893">
            <v>1971</v>
          </cell>
          <cell r="C893" t="str">
            <v>IRENE</v>
          </cell>
          <cell r="D893">
            <v>1</v>
          </cell>
          <cell r="E893">
            <v>70</v>
          </cell>
          <cell r="F893">
            <v>989</v>
          </cell>
        </row>
        <row r="894">
          <cell r="A894" t="str">
            <v>AL191971</v>
          </cell>
          <cell r="B894">
            <v>1971</v>
          </cell>
          <cell r="C894" t="str">
            <v>JANICE</v>
          </cell>
          <cell r="D894" t="str">
            <v>NA</v>
          </cell>
          <cell r="E894" t="str">
            <v>NA</v>
          </cell>
          <cell r="F894" t="str">
            <v>NA</v>
          </cell>
        </row>
        <row r="895">
          <cell r="A895" t="str">
            <v>AL211971</v>
          </cell>
          <cell r="B895">
            <v>1971</v>
          </cell>
          <cell r="C895" t="str">
            <v>KRISTY</v>
          </cell>
          <cell r="D895" t="str">
            <v>NA</v>
          </cell>
          <cell r="E895" t="str">
            <v>NA</v>
          </cell>
          <cell r="F895" t="str">
            <v>NA</v>
          </cell>
        </row>
        <row r="896">
          <cell r="A896" t="str">
            <v>AL221971</v>
          </cell>
          <cell r="B896">
            <v>1971</v>
          </cell>
          <cell r="C896" t="str">
            <v>LAURA</v>
          </cell>
          <cell r="D896" t="str">
            <v>NA</v>
          </cell>
          <cell r="E896" t="str">
            <v>NA</v>
          </cell>
          <cell r="F896" t="str">
            <v>NA</v>
          </cell>
        </row>
        <row r="897">
          <cell r="A897" t="str">
            <v>AL101971</v>
          </cell>
          <cell r="B897">
            <v>1971</v>
          </cell>
          <cell r="C897" t="str">
            <v>STORM 10</v>
          </cell>
          <cell r="D897" t="str">
            <v>NA</v>
          </cell>
          <cell r="E897" t="str">
            <v>NA</v>
          </cell>
          <cell r="F897" t="str">
            <v>NA</v>
          </cell>
        </row>
        <row r="898">
          <cell r="A898" t="str">
            <v>AL121971</v>
          </cell>
          <cell r="B898">
            <v>1971</v>
          </cell>
          <cell r="C898" t="str">
            <v>STORM 12</v>
          </cell>
          <cell r="D898" t="str">
            <v>NA</v>
          </cell>
          <cell r="E898" t="str">
            <v>NA</v>
          </cell>
          <cell r="F898" t="str">
            <v>NA</v>
          </cell>
        </row>
        <row r="899">
          <cell r="A899" t="str">
            <v>AL151971</v>
          </cell>
          <cell r="B899">
            <v>1971</v>
          </cell>
          <cell r="C899" t="str">
            <v>STORM 15</v>
          </cell>
          <cell r="D899" t="str">
            <v>NA</v>
          </cell>
          <cell r="E899" t="str">
            <v>NA</v>
          </cell>
          <cell r="F899" t="str">
            <v>NA</v>
          </cell>
        </row>
        <row r="900">
          <cell r="A900" t="str">
            <v>AL161971</v>
          </cell>
          <cell r="B900">
            <v>1971</v>
          </cell>
          <cell r="C900" t="str">
            <v>STORM 16</v>
          </cell>
          <cell r="D900" t="str">
            <v>NA</v>
          </cell>
          <cell r="E900" t="str">
            <v>NA</v>
          </cell>
          <cell r="F900" t="str">
            <v>NA</v>
          </cell>
        </row>
        <row r="901">
          <cell r="A901" t="str">
            <v>AL021971</v>
          </cell>
          <cell r="B901">
            <v>1971</v>
          </cell>
          <cell r="C901" t="str">
            <v>STORM 2</v>
          </cell>
          <cell r="D901" t="str">
            <v>NA</v>
          </cell>
          <cell r="E901" t="str">
            <v>NA</v>
          </cell>
          <cell r="F901" t="str">
            <v>NA</v>
          </cell>
        </row>
        <row r="902">
          <cell r="A902" t="str">
            <v>AL201971</v>
          </cell>
          <cell r="B902">
            <v>1971</v>
          </cell>
          <cell r="C902" t="str">
            <v>STORM 20</v>
          </cell>
          <cell r="D902" t="str">
            <v>NA</v>
          </cell>
          <cell r="E902" t="str">
            <v>NA</v>
          </cell>
          <cell r="F902" t="str">
            <v>NA</v>
          </cell>
        </row>
        <row r="903">
          <cell r="A903" t="str">
            <v>AL031971</v>
          </cell>
          <cell r="B903">
            <v>1971</v>
          </cell>
          <cell r="C903" t="str">
            <v>STORM 3</v>
          </cell>
          <cell r="D903" t="str">
            <v>NA</v>
          </cell>
          <cell r="E903" t="str">
            <v>NA</v>
          </cell>
          <cell r="F903" t="str">
            <v>NA</v>
          </cell>
        </row>
        <row r="904">
          <cell r="A904" t="str">
            <v>AL041971</v>
          </cell>
          <cell r="B904">
            <v>1971</v>
          </cell>
          <cell r="C904" t="str">
            <v>STORM 4</v>
          </cell>
          <cell r="D904">
            <v>1</v>
          </cell>
          <cell r="E904">
            <v>75</v>
          </cell>
          <cell r="F904">
            <v>974</v>
          </cell>
        </row>
        <row r="905">
          <cell r="A905" t="str">
            <v>AL051971</v>
          </cell>
          <cell r="B905">
            <v>1971</v>
          </cell>
          <cell r="C905" t="str">
            <v>STORM 5</v>
          </cell>
          <cell r="D905" t="str">
            <v>NA</v>
          </cell>
          <cell r="E905" t="str">
            <v>NA</v>
          </cell>
          <cell r="F905" t="str">
            <v>NA</v>
          </cell>
        </row>
        <row r="906">
          <cell r="A906" t="str">
            <v>AL071971</v>
          </cell>
          <cell r="B906">
            <v>1971</v>
          </cell>
          <cell r="C906" t="str">
            <v>STORM 7</v>
          </cell>
          <cell r="D906" t="str">
            <v>NA</v>
          </cell>
          <cell r="E906" t="str">
            <v>NA</v>
          </cell>
          <cell r="F906" t="str">
            <v>NA</v>
          </cell>
        </row>
        <row r="907">
          <cell r="A907" t="str">
            <v>AL011970</v>
          </cell>
          <cell r="B907">
            <v>1970</v>
          </cell>
          <cell r="C907" t="str">
            <v>ALMA</v>
          </cell>
          <cell r="D907">
            <v>1</v>
          </cell>
          <cell r="E907">
            <v>65</v>
          </cell>
          <cell r="F907">
            <v>993</v>
          </cell>
        </row>
        <row r="908">
          <cell r="A908" t="str">
            <v>AL021970</v>
          </cell>
          <cell r="B908">
            <v>1970</v>
          </cell>
          <cell r="C908" t="str">
            <v>BECKY</v>
          </cell>
          <cell r="D908" t="str">
            <v>NA</v>
          </cell>
          <cell r="E908" t="str">
            <v>NA</v>
          </cell>
          <cell r="F908" t="str">
            <v>NA</v>
          </cell>
        </row>
        <row r="909">
          <cell r="A909" t="str">
            <v>AL041970</v>
          </cell>
          <cell r="B909">
            <v>1970</v>
          </cell>
          <cell r="C909" t="str">
            <v>CELIA</v>
          </cell>
          <cell r="D909">
            <v>4</v>
          </cell>
          <cell r="E909">
            <v>120</v>
          </cell>
          <cell r="F909">
            <v>944</v>
          </cell>
        </row>
        <row r="910">
          <cell r="A910" t="str">
            <v>AL091970</v>
          </cell>
          <cell r="B910">
            <v>1970</v>
          </cell>
          <cell r="C910" t="str">
            <v>DOROTHY</v>
          </cell>
          <cell r="D910" t="str">
            <v>NA</v>
          </cell>
          <cell r="E910" t="str">
            <v>NA</v>
          </cell>
          <cell r="F910" t="str">
            <v>NA</v>
          </cell>
        </row>
        <row r="911">
          <cell r="A911" t="str">
            <v>AL121970</v>
          </cell>
          <cell r="B911">
            <v>1970</v>
          </cell>
          <cell r="C911" t="str">
            <v>ELLA</v>
          </cell>
          <cell r="D911">
            <v>3</v>
          </cell>
          <cell r="E911">
            <v>110</v>
          </cell>
          <cell r="F911">
            <v>962</v>
          </cell>
        </row>
        <row r="912">
          <cell r="A912" t="str">
            <v>AL131970</v>
          </cell>
          <cell r="B912">
            <v>1970</v>
          </cell>
          <cell r="C912" t="str">
            <v>FELICE</v>
          </cell>
          <cell r="D912" t="str">
            <v>NA</v>
          </cell>
          <cell r="E912" t="str">
            <v>NA</v>
          </cell>
          <cell r="F912" t="str">
            <v>NA</v>
          </cell>
        </row>
        <row r="913">
          <cell r="A913" t="str">
            <v>AL161970</v>
          </cell>
          <cell r="B913">
            <v>1970</v>
          </cell>
          <cell r="C913" t="str">
            <v>GRETA</v>
          </cell>
          <cell r="D913" t="str">
            <v>NA</v>
          </cell>
          <cell r="E913" t="str">
            <v>NA</v>
          </cell>
          <cell r="F913" t="str">
            <v>NA</v>
          </cell>
        </row>
        <row r="914">
          <cell r="A914" t="str">
            <v>AL101970</v>
          </cell>
          <cell r="B914">
            <v>1970</v>
          </cell>
          <cell r="C914" t="str">
            <v>STORM 10</v>
          </cell>
          <cell r="D914" t="str">
            <v>NA</v>
          </cell>
          <cell r="E914" t="str">
            <v>NA</v>
          </cell>
          <cell r="F914" t="str">
            <v>NA</v>
          </cell>
        </row>
        <row r="915">
          <cell r="A915" t="str">
            <v>AL111970</v>
          </cell>
          <cell r="B915">
            <v>1970</v>
          </cell>
          <cell r="C915" t="str">
            <v>STORM 11</v>
          </cell>
          <cell r="D915" t="str">
            <v>NA</v>
          </cell>
          <cell r="E915" t="str">
            <v>NA</v>
          </cell>
          <cell r="F915" t="str">
            <v>NA</v>
          </cell>
        </row>
        <row r="916">
          <cell r="A916" t="str">
            <v>AL141970</v>
          </cell>
          <cell r="B916">
            <v>1970</v>
          </cell>
          <cell r="C916" t="str">
            <v>STORM 14</v>
          </cell>
          <cell r="D916" t="str">
            <v>NA</v>
          </cell>
          <cell r="E916" t="str">
            <v>NA</v>
          </cell>
          <cell r="F916" t="str">
            <v>NA</v>
          </cell>
        </row>
        <row r="917">
          <cell r="A917" t="str">
            <v>AL151970</v>
          </cell>
          <cell r="B917">
            <v>1970</v>
          </cell>
          <cell r="C917" t="str">
            <v>STORM 15</v>
          </cell>
          <cell r="D917">
            <v>1</v>
          </cell>
          <cell r="E917">
            <v>75</v>
          </cell>
          <cell r="F917">
            <v>989</v>
          </cell>
        </row>
        <row r="918">
          <cell r="A918" t="str">
            <v>AL181970</v>
          </cell>
          <cell r="B918">
            <v>1970</v>
          </cell>
          <cell r="C918" t="str">
            <v>STORM 18</v>
          </cell>
          <cell r="D918">
            <v>2</v>
          </cell>
          <cell r="E918">
            <v>85</v>
          </cell>
          <cell r="F918">
            <v>974</v>
          </cell>
        </row>
        <row r="919">
          <cell r="A919" t="str">
            <v>AL191970</v>
          </cell>
          <cell r="B919">
            <v>1970</v>
          </cell>
          <cell r="C919" t="str">
            <v>STORM 19</v>
          </cell>
          <cell r="D919">
            <v>2</v>
          </cell>
          <cell r="E919">
            <v>85</v>
          </cell>
          <cell r="F919" t="str">
            <v>NA</v>
          </cell>
        </row>
        <row r="920">
          <cell r="A920" t="str">
            <v>AL201970</v>
          </cell>
          <cell r="B920">
            <v>1970</v>
          </cell>
          <cell r="C920" t="str">
            <v>STORM 20</v>
          </cell>
          <cell r="D920" t="str">
            <v>NA</v>
          </cell>
          <cell r="E920" t="str">
            <v>NA</v>
          </cell>
          <cell r="F920" t="str">
            <v>NA</v>
          </cell>
        </row>
        <row r="921">
          <cell r="A921" t="str">
            <v>AL211970</v>
          </cell>
          <cell r="B921">
            <v>1970</v>
          </cell>
          <cell r="C921" t="str">
            <v>STORM 21</v>
          </cell>
          <cell r="D921" t="str">
            <v>NA</v>
          </cell>
          <cell r="E921" t="str">
            <v>NA</v>
          </cell>
          <cell r="F921" t="str">
            <v>NA</v>
          </cell>
        </row>
        <row r="922">
          <cell r="A922" t="str">
            <v>AL221970</v>
          </cell>
          <cell r="B922">
            <v>1970</v>
          </cell>
          <cell r="C922" t="str">
            <v>STORM 22</v>
          </cell>
          <cell r="D922" t="str">
            <v>NA</v>
          </cell>
          <cell r="E922" t="str">
            <v>NA</v>
          </cell>
          <cell r="F922" t="str">
            <v>NA</v>
          </cell>
        </row>
        <row r="923">
          <cell r="A923" t="str">
            <v>AL231970</v>
          </cell>
          <cell r="B923">
            <v>1970</v>
          </cell>
          <cell r="C923" t="str">
            <v>STORM 23</v>
          </cell>
          <cell r="D923" t="str">
            <v>NA</v>
          </cell>
          <cell r="E923" t="str">
            <v>NA</v>
          </cell>
          <cell r="F923" t="str">
            <v>NA</v>
          </cell>
        </row>
        <row r="924">
          <cell r="A924" t="str">
            <v>AL031970</v>
          </cell>
          <cell r="B924">
            <v>1970</v>
          </cell>
          <cell r="C924" t="str">
            <v>STORM 3</v>
          </cell>
          <cell r="D924" t="str">
            <v>NA</v>
          </cell>
          <cell r="E924" t="str">
            <v>NA</v>
          </cell>
          <cell r="F924" t="str">
            <v>NA</v>
          </cell>
        </row>
        <row r="925">
          <cell r="A925" t="str">
            <v>AL051970</v>
          </cell>
          <cell r="B925">
            <v>1970</v>
          </cell>
          <cell r="C925" t="str">
            <v>STORM 5</v>
          </cell>
          <cell r="D925" t="str">
            <v>NA</v>
          </cell>
          <cell r="E925" t="str">
            <v>NA</v>
          </cell>
          <cell r="F925" t="str">
            <v>NA</v>
          </cell>
        </row>
        <row r="926">
          <cell r="A926" t="str">
            <v>AL071970</v>
          </cell>
          <cell r="B926">
            <v>1970</v>
          </cell>
          <cell r="C926" t="str">
            <v>STORM 7</v>
          </cell>
          <cell r="D926" t="str">
            <v>NA</v>
          </cell>
          <cell r="E926" t="str">
            <v>NA</v>
          </cell>
          <cell r="F926" t="str">
            <v>NA</v>
          </cell>
        </row>
        <row r="927">
          <cell r="A927" t="str">
            <v>AL081970</v>
          </cell>
          <cell r="B927">
            <v>1970</v>
          </cell>
          <cell r="C927" t="str">
            <v>STORM 8</v>
          </cell>
          <cell r="D927">
            <v>1</v>
          </cell>
          <cell r="E927">
            <v>70</v>
          </cell>
          <cell r="F927" t="str">
            <v>NA</v>
          </cell>
        </row>
        <row r="928">
          <cell r="A928" t="str">
            <v>AL061969</v>
          </cell>
          <cell r="B928">
            <v>1969</v>
          </cell>
          <cell r="C928" t="str">
            <v>ANNA</v>
          </cell>
          <cell r="D928" t="str">
            <v>NA</v>
          </cell>
          <cell r="E928" t="str">
            <v>NA</v>
          </cell>
          <cell r="F928" t="str">
            <v>NA</v>
          </cell>
        </row>
        <row r="929">
          <cell r="A929" t="str">
            <v>AL071969</v>
          </cell>
          <cell r="B929">
            <v>1969</v>
          </cell>
          <cell r="C929" t="str">
            <v>BLANCHE</v>
          </cell>
          <cell r="D929">
            <v>1</v>
          </cell>
          <cell r="E929">
            <v>75</v>
          </cell>
          <cell r="F929">
            <v>997</v>
          </cell>
        </row>
        <row r="930">
          <cell r="A930" t="str">
            <v>AL091969</v>
          </cell>
          <cell r="B930">
            <v>1969</v>
          </cell>
          <cell r="C930" t="str">
            <v>CAMILLE</v>
          </cell>
          <cell r="D930">
            <v>5</v>
          </cell>
          <cell r="E930">
            <v>150</v>
          </cell>
          <cell r="F930">
            <v>900</v>
          </cell>
        </row>
        <row r="931">
          <cell r="A931" t="str">
            <v>AL081969</v>
          </cell>
          <cell r="B931">
            <v>1969</v>
          </cell>
          <cell r="C931" t="str">
            <v>DEBBIE</v>
          </cell>
          <cell r="D931">
            <v>3</v>
          </cell>
          <cell r="E931">
            <v>110</v>
          </cell>
          <cell r="F931">
            <v>950</v>
          </cell>
        </row>
        <row r="932">
          <cell r="A932" t="str">
            <v>AL121969</v>
          </cell>
          <cell r="B932">
            <v>1969</v>
          </cell>
          <cell r="C932" t="str">
            <v>EVE</v>
          </cell>
          <cell r="D932" t="str">
            <v>NA</v>
          </cell>
          <cell r="E932" t="str">
            <v>NA</v>
          </cell>
          <cell r="F932" t="str">
            <v>NA</v>
          </cell>
        </row>
        <row r="933">
          <cell r="A933" t="str">
            <v>AL131969</v>
          </cell>
          <cell r="B933">
            <v>1969</v>
          </cell>
          <cell r="C933" t="str">
            <v>FRANCELIA</v>
          </cell>
          <cell r="D933">
            <v>2</v>
          </cell>
          <cell r="E933">
            <v>85</v>
          </cell>
          <cell r="F933">
            <v>973</v>
          </cell>
        </row>
        <row r="934">
          <cell r="A934" t="str">
            <v>AL161969</v>
          </cell>
          <cell r="B934">
            <v>1969</v>
          </cell>
          <cell r="C934" t="str">
            <v>GERDA</v>
          </cell>
          <cell r="D934">
            <v>3</v>
          </cell>
          <cell r="E934">
            <v>105</v>
          </cell>
          <cell r="F934">
            <v>980</v>
          </cell>
        </row>
        <row r="935">
          <cell r="A935" t="str">
            <v>AL171969</v>
          </cell>
          <cell r="B935">
            <v>1969</v>
          </cell>
          <cell r="C935" t="str">
            <v>HOLLY</v>
          </cell>
          <cell r="D935">
            <v>1</v>
          </cell>
          <cell r="E935">
            <v>70</v>
          </cell>
          <cell r="F935">
            <v>984</v>
          </cell>
        </row>
        <row r="936">
          <cell r="A936" t="str">
            <v>AL201969</v>
          </cell>
          <cell r="B936">
            <v>1969</v>
          </cell>
          <cell r="C936" t="str">
            <v>INGA</v>
          </cell>
          <cell r="D936">
            <v>2</v>
          </cell>
          <cell r="E936">
            <v>95</v>
          </cell>
          <cell r="F936">
            <v>964</v>
          </cell>
        </row>
        <row r="937">
          <cell r="A937" t="str">
            <v>AL241969</v>
          </cell>
          <cell r="B937">
            <v>1969</v>
          </cell>
          <cell r="C937" t="str">
            <v>JENNY</v>
          </cell>
          <cell r="D937" t="str">
            <v>NA</v>
          </cell>
          <cell r="E937" t="str">
            <v>NA</v>
          </cell>
          <cell r="F937" t="str">
            <v>NA</v>
          </cell>
        </row>
        <row r="938">
          <cell r="A938" t="str">
            <v>AL251969</v>
          </cell>
          <cell r="B938">
            <v>1969</v>
          </cell>
          <cell r="C938" t="str">
            <v>KARA</v>
          </cell>
          <cell r="D938">
            <v>1</v>
          </cell>
          <cell r="E938">
            <v>80</v>
          </cell>
          <cell r="F938">
            <v>978</v>
          </cell>
        </row>
        <row r="939">
          <cell r="A939" t="str">
            <v>AL261969</v>
          </cell>
          <cell r="B939">
            <v>1969</v>
          </cell>
          <cell r="C939" t="str">
            <v>LAURIE</v>
          </cell>
          <cell r="D939">
            <v>1</v>
          </cell>
          <cell r="E939">
            <v>80</v>
          </cell>
          <cell r="F939">
            <v>973</v>
          </cell>
        </row>
        <row r="940">
          <cell r="A940" t="str">
            <v>AL291969</v>
          </cell>
          <cell r="B940">
            <v>1969</v>
          </cell>
          <cell r="C940" t="str">
            <v>MARTHA</v>
          </cell>
          <cell r="D940">
            <v>1</v>
          </cell>
          <cell r="E940">
            <v>80</v>
          </cell>
          <cell r="F940">
            <v>979</v>
          </cell>
        </row>
        <row r="941">
          <cell r="A941" t="str">
            <v>AL151969</v>
          </cell>
          <cell r="B941">
            <v>1969</v>
          </cell>
          <cell r="C941" t="str">
            <v>STORM 15</v>
          </cell>
          <cell r="D941" t="str">
            <v>NA</v>
          </cell>
          <cell r="E941" t="str">
            <v>NA</v>
          </cell>
          <cell r="F941" t="str">
            <v>NA</v>
          </cell>
        </row>
        <row r="942">
          <cell r="A942" t="str">
            <v>AL191969</v>
          </cell>
          <cell r="B942">
            <v>1969</v>
          </cell>
          <cell r="C942" t="str">
            <v>STORM 19</v>
          </cell>
          <cell r="D942" t="str">
            <v>NA</v>
          </cell>
          <cell r="E942" t="str">
            <v>NA</v>
          </cell>
          <cell r="F942" t="str">
            <v>NA</v>
          </cell>
        </row>
        <row r="943">
          <cell r="A943" t="str">
            <v>AL211969</v>
          </cell>
          <cell r="B943">
            <v>1969</v>
          </cell>
          <cell r="C943" t="str">
            <v>STORM 21</v>
          </cell>
          <cell r="D943">
            <v>1</v>
          </cell>
          <cell r="E943">
            <v>65</v>
          </cell>
          <cell r="F943">
            <v>987</v>
          </cell>
        </row>
        <row r="944">
          <cell r="A944" t="str">
            <v>AL221969</v>
          </cell>
          <cell r="B944">
            <v>1969</v>
          </cell>
          <cell r="C944" t="str">
            <v>STORM 22</v>
          </cell>
          <cell r="D944" t="str">
            <v>NA</v>
          </cell>
          <cell r="E944" t="str">
            <v>NA</v>
          </cell>
          <cell r="F944" t="str">
            <v>NA</v>
          </cell>
        </row>
        <row r="945">
          <cell r="A945" t="str">
            <v>AL231969</v>
          </cell>
          <cell r="B945">
            <v>1969</v>
          </cell>
          <cell r="C945" t="str">
            <v>STORM 23</v>
          </cell>
          <cell r="D945" t="str">
            <v>NA</v>
          </cell>
          <cell r="E945" t="str">
            <v>NA</v>
          </cell>
          <cell r="F945" t="str">
            <v>NA</v>
          </cell>
        </row>
        <row r="946">
          <cell r="A946" t="str">
            <v>AL271969</v>
          </cell>
          <cell r="B946">
            <v>1969</v>
          </cell>
          <cell r="C946" t="str">
            <v>STORM 27</v>
          </cell>
          <cell r="D946" t="str">
            <v>NA</v>
          </cell>
          <cell r="E946" t="str">
            <v>NA</v>
          </cell>
          <cell r="F946" t="str">
            <v>NA</v>
          </cell>
        </row>
        <row r="947">
          <cell r="A947" t="str">
            <v>AL281969</v>
          </cell>
          <cell r="B947">
            <v>1969</v>
          </cell>
          <cell r="C947" t="str">
            <v>STORM 28</v>
          </cell>
          <cell r="D947">
            <v>1</v>
          </cell>
          <cell r="E947">
            <v>80</v>
          </cell>
          <cell r="F947" t="str">
            <v>NA</v>
          </cell>
        </row>
        <row r="948">
          <cell r="A948" t="str">
            <v>AL031969</v>
          </cell>
          <cell r="B948">
            <v>1969</v>
          </cell>
          <cell r="C948" t="str">
            <v>STORM 3</v>
          </cell>
          <cell r="D948" t="str">
            <v>NA</v>
          </cell>
          <cell r="E948" t="str">
            <v>NA</v>
          </cell>
          <cell r="F948" t="str">
            <v>NA</v>
          </cell>
        </row>
        <row r="949">
          <cell r="A949" t="str">
            <v>AL301969</v>
          </cell>
          <cell r="B949">
            <v>1969</v>
          </cell>
          <cell r="C949" t="str">
            <v>STORM 30</v>
          </cell>
          <cell r="D949" t="str">
            <v>NA</v>
          </cell>
          <cell r="E949" t="str">
            <v>NA</v>
          </cell>
          <cell r="F949" t="str">
            <v>NA</v>
          </cell>
        </row>
        <row r="950">
          <cell r="A950" t="str">
            <v>AL051969</v>
          </cell>
          <cell r="B950">
            <v>1969</v>
          </cell>
          <cell r="C950" t="str">
            <v>STORM 5</v>
          </cell>
          <cell r="D950" t="str">
            <v>NA</v>
          </cell>
          <cell r="E950" t="str">
            <v>NA</v>
          </cell>
          <cell r="F950" t="str">
            <v>NA</v>
          </cell>
        </row>
        <row r="951">
          <cell r="A951" t="str">
            <v>AL011968</v>
          </cell>
          <cell r="B951">
            <v>1968</v>
          </cell>
          <cell r="C951" t="str">
            <v>ABBY</v>
          </cell>
          <cell r="D951">
            <v>1</v>
          </cell>
          <cell r="E951">
            <v>65</v>
          </cell>
          <cell r="F951">
            <v>994</v>
          </cell>
        </row>
        <row r="952">
          <cell r="A952" t="str">
            <v>AL021968</v>
          </cell>
          <cell r="B952">
            <v>1968</v>
          </cell>
          <cell r="C952" t="str">
            <v>BRENDA</v>
          </cell>
          <cell r="D952">
            <v>1</v>
          </cell>
          <cell r="E952">
            <v>70</v>
          </cell>
          <cell r="F952">
            <v>990</v>
          </cell>
        </row>
        <row r="953">
          <cell r="A953" t="str">
            <v>AL031968</v>
          </cell>
          <cell r="B953">
            <v>1968</v>
          </cell>
          <cell r="C953" t="str">
            <v>CANDY</v>
          </cell>
          <cell r="D953" t="str">
            <v>NA</v>
          </cell>
          <cell r="E953" t="str">
            <v>NA</v>
          </cell>
          <cell r="F953" t="str">
            <v>NA</v>
          </cell>
        </row>
        <row r="954">
          <cell r="A954" t="str">
            <v>AL051968</v>
          </cell>
          <cell r="B954">
            <v>1968</v>
          </cell>
          <cell r="C954" t="str">
            <v>DOLLY</v>
          </cell>
          <cell r="D954">
            <v>1</v>
          </cell>
          <cell r="E954">
            <v>75</v>
          </cell>
          <cell r="F954">
            <v>985</v>
          </cell>
        </row>
        <row r="955">
          <cell r="A955" t="str">
            <v>AL081968</v>
          </cell>
          <cell r="B955">
            <v>1968</v>
          </cell>
          <cell r="C955" t="str">
            <v>EDNA</v>
          </cell>
          <cell r="D955" t="str">
            <v>NA</v>
          </cell>
          <cell r="E955" t="str">
            <v>NA</v>
          </cell>
          <cell r="F955" t="str">
            <v>NA</v>
          </cell>
        </row>
        <row r="956">
          <cell r="A956" t="str">
            <v>AL121968</v>
          </cell>
          <cell r="B956">
            <v>1968</v>
          </cell>
          <cell r="C956" t="str">
            <v>FRANCES</v>
          </cell>
          <cell r="D956" t="str">
            <v>NA</v>
          </cell>
          <cell r="E956" t="str">
            <v>NA</v>
          </cell>
          <cell r="F956" t="str">
            <v>NA</v>
          </cell>
        </row>
        <row r="957">
          <cell r="A957" t="str">
            <v>AL141968</v>
          </cell>
          <cell r="B957">
            <v>1968</v>
          </cell>
          <cell r="C957" t="str">
            <v>GLADYS</v>
          </cell>
          <cell r="D957">
            <v>2</v>
          </cell>
          <cell r="E957">
            <v>85</v>
          </cell>
          <cell r="F957">
            <v>977</v>
          </cell>
        </row>
        <row r="958">
          <cell r="A958" t="str">
            <v>AL101968</v>
          </cell>
          <cell r="B958">
            <v>1968</v>
          </cell>
          <cell r="C958" t="str">
            <v>STORM 10</v>
          </cell>
          <cell r="D958" t="str">
            <v>NA</v>
          </cell>
          <cell r="E958" t="str">
            <v>NA</v>
          </cell>
          <cell r="F958" t="str">
            <v>NA</v>
          </cell>
        </row>
        <row r="959">
          <cell r="A959" t="str">
            <v>AL131968</v>
          </cell>
          <cell r="B959">
            <v>1968</v>
          </cell>
          <cell r="C959" t="str">
            <v>STORM 13</v>
          </cell>
          <cell r="D959" t="str">
            <v>NA</v>
          </cell>
          <cell r="E959" t="str">
            <v>NA</v>
          </cell>
          <cell r="F959" t="str">
            <v>NA</v>
          </cell>
        </row>
        <row r="960">
          <cell r="A960" t="str">
            <v>AL151968</v>
          </cell>
          <cell r="B960">
            <v>1968</v>
          </cell>
          <cell r="C960" t="str">
            <v>STORM 15</v>
          </cell>
          <cell r="D960" t="str">
            <v>NA</v>
          </cell>
          <cell r="E960" t="str">
            <v>NA</v>
          </cell>
          <cell r="F960" t="str">
            <v>NA</v>
          </cell>
        </row>
        <row r="961">
          <cell r="A961" t="str">
            <v>AL161968</v>
          </cell>
          <cell r="B961">
            <v>1968</v>
          </cell>
          <cell r="C961" t="str">
            <v>STORM 16</v>
          </cell>
          <cell r="D961" t="str">
            <v>NA</v>
          </cell>
          <cell r="E961" t="str">
            <v>NA</v>
          </cell>
          <cell r="F961" t="str">
            <v>NA</v>
          </cell>
        </row>
        <row r="962">
          <cell r="A962" t="str">
            <v>AL061968</v>
          </cell>
          <cell r="B962">
            <v>1968</v>
          </cell>
          <cell r="C962" t="str">
            <v>STORM 6</v>
          </cell>
          <cell r="D962" t="str">
            <v>NA</v>
          </cell>
          <cell r="E962" t="str">
            <v>NA</v>
          </cell>
          <cell r="F962" t="str">
            <v>NA</v>
          </cell>
        </row>
        <row r="963">
          <cell r="A963" t="str">
            <v>AL091968</v>
          </cell>
          <cell r="B963">
            <v>1968</v>
          </cell>
          <cell r="C963" t="str">
            <v>STORM 9</v>
          </cell>
          <cell r="D963" t="str">
            <v>NA</v>
          </cell>
          <cell r="E963" t="str">
            <v>NA</v>
          </cell>
          <cell r="F963" t="str">
            <v>NA</v>
          </cell>
        </row>
        <row r="964">
          <cell r="A964" t="str">
            <v>AL111967</v>
          </cell>
          <cell r="B964">
            <v>1967</v>
          </cell>
          <cell r="C964" t="str">
            <v>ARLENE</v>
          </cell>
          <cell r="D964">
            <v>1</v>
          </cell>
          <cell r="E964">
            <v>80</v>
          </cell>
          <cell r="F964">
            <v>982</v>
          </cell>
        </row>
        <row r="965">
          <cell r="A965" t="str">
            <v>AL131967</v>
          </cell>
          <cell r="B965">
            <v>1967</v>
          </cell>
          <cell r="C965" t="str">
            <v>BEULAH</v>
          </cell>
          <cell r="D965">
            <v>5</v>
          </cell>
          <cell r="E965">
            <v>140</v>
          </cell>
          <cell r="F965">
            <v>923</v>
          </cell>
        </row>
        <row r="966">
          <cell r="A966" t="str">
            <v>AL121967</v>
          </cell>
          <cell r="B966">
            <v>1967</v>
          </cell>
          <cell r="C966" t="str">
            <v>CHLOE</v>
          </cell>
          <cell r="D966">
            <v>2</v>
          </cell>
          <cell r="E966">
            <v>95</v>
          </cell>
          <cell r="F966">
            <v>958</v>
          </cell>
        </row>
        <row r="967">
          <cell r="A967" t="str">
            <v>AL141967</v>
          </cell>
          <cell r="B967">
            <v>1967</v>
          </cell>
          <cell r="C967" t="str">
            <v>DORIA</v>
          </cell>
          <cell r="D967">
            <v>2</v>
          </cell>
          <cell r="E967">
            <v>85</v>
          </cell>
          <cell r="F967">
            <v>973</v>
          </cell>
        </row>
        <row r="968">
          <cell r="A968" t="str">
            <v>AL181967</v>
          </cell>
          <cell r="B968">
            <v>1967</v>
          </cell>
          <cell r="C968" t="str">
            <v>EDITH</v>
          </cell>
          <cell r="D968" t="str">
            <v>NA</v>
          </cell>
          <cell r="E968" t="str">
            <v>NA</v>
          </cell>
          <cell r="F968" t="str">
            <v>NA</v>
          </cell>
        </row>
        <row r="969">
          <cell r="A969" t="str">
            <v>AL191967</v>
          </cell>
          <cell r="B969">
            <v>1967</v>
          </cell>
          <cell r="C969" t="str">
            <v>FERN</v>
          </cell>
          <cell r="D969">
            <v>1</v>
          </cell>
          <cell r="E969">
            <v>65</v>
          </cell>
          <cell r="F969">
            <v>987</v>
          </cell>
        </row>
        <row r="970">
          <cell r="A970" t="str">
            <v>AL211967</v>
          </cell>
          <cell r="B970">
            <v>1967</v>
          </cell>
          <cell r="C970" t="str">
            <v>GINGER</v>
          </cell>
          <cell r="D970" t="str">
            <v>NA</v>
          </cell>
          <cell r="E970" t="str">
            <v>NA</v>
          </cell>
          <cell r="F970" t="str">
            <v>NA</v>
          </cell>
        </row>
        <row r="971">
          <cell r="A971" t="str">
            <v>AL251967</v>
          </cell>
          <cell r="B971">
            <v>1967</v>
          </cell>
          <cell r="C971" t="str">
            <v>HEIDI</v>
          </cell>
          <cell r="D971">
            <v>1</v>
          </cell>
          <cell r="E971">
            <v>75</v>
          </cell>
          <cell r="F971">
            <v>981</v>
          </cell>
        </row>
        <row r="972">
          <cell r="A972" t="str">
            <v>AL011967</v>
          </cell>
          <cell r="B972">
            <v>1967</v>
          </cell>
          <cell r="C972" t="str">
            <v>STORM 1</v>
          </cell>
          <cell r="D972" t="str">
            <v>NA</v>
          </cell>
          <cell r="E972" t="str">
            <v>NA</v>
          </cell>
          <cell r="F972" t="str">
            <v>NA</v>
          </cell>
        </row>
        <row r="973">
          <cell r="A973" t="str">
            <v>AL151967</v>
          </cell>
          <cell r="B973">
            <v>1967</v>
          </cell>
          <cell r="C973" t="str">
            <v>STORM 15</v>
          </cell>
          <cell r="D973" t="str">
            <v>NA</v>
          </cell>
          <cell r="E973" t="str">
            <v>NA</v>
          </cell>
          <cell r="F973" t="str">
            <v>NA</v>
          </cell>
        </row>
        <row r="974">
          <cell r="A974" t="str">
            <v>AL161967</v>
          </cell>
          <cell r="B974">
            <v>1967</v>
          </cell>
          <cell r="C974" t="str">
            <v>STORM 16</v>
          </cell>
          <cell r="D974" t="str">
            <v>NA</v>
          </cell>
          <cell r="E974" t="str">
            <v>NA</v>
          </cell>
          <cell r="F974" t="str">
            <v>NA</v>
          </cell>
        </row>
        <row r="975">
          <cell r="A975" t="str">
            <v>AL171967</v>
          </cell>
          <cell r="B975">
            <v>1967</v>
          </cell>
          <cell r="C975" t="str">
            <v>STORM 17</v>
          </cell>
          <cell r="D975" t="str">
            <v>NA</v>
          </cell>
          <cell r="E975" t="str">
            <v>NA</v>
          </cell>
          <cell r="F975" t="str">
            <v>NA</v>
          </cell>
        </row>
        <row r="976">
          <cell r="A976" t="str">
            <v>AL231967</v>
          </cell>
          <cell r="B976">
            <v>1967</v>
          </cell>
          <cell r="C976" t="str">
            <v>STORM 23</v>
          </cell>
          <cell r="D976" t="str">
            <v>NA</v>
          </cell>
          <cell r="E976" t="str">
            <v>NA</v>
          </cell>
          <cell r="F976" t="str">
            <v>NA</v>
          </cell>
        </row>
        <row r="977">
          <cell r="A977" t="str">
            <v>AL241967</v>
          </cell>
          <cell r="B977">
            <v>1967</v>
          </cell>
          <cell r="C977" t="str">
            <v>STORM 24</v>
          </cell>
          <cell r="D977" t="str">
            <v>NA</v>
          </cell>
          <cell r="E977" t="str">
            <v>NA</v>
          </cell>
          <cell r="F977" t="str">
            <v>NA</v>
          </cell>
        </row>
        <row r="978">
          <cell r="A978" t="str">
            <v>AL271967</v>
          </cell>
          <cell r="B978">
            <v>1967</v>
          </cell>
          <cell r="C978" t="str">
            <v>STORM 27</v>
          </cell>
          <cell r="D978" t="str">
            <v>NA</v>
          </cell>
          <cell r="E978" t="str">
            <v>NA</v>
          </cell>
          <cell r="F978" t="str">
            <v>NA</v>
          </cell>
        </row>
        <row r="979">
          <cell r="A979" t="str">
            <v>AL281967</v>
          </cell>
          <cell r="B979">
            <v>1967</v>
          </cell>
          <cell r="C979" t="str">
            <v>STORM 28</v>
          </cell>
          <cell r="D979" t="str">
            <v>NA</v>
          </cell>
          <cell r="E979" t="str">
            <v>NA</v>
          </cell>
          <cell r="F979" t="str">
            <v>NA</v>
          </cell>
        </row>
        <row r="980">
          <cell r="A980" t="str">
            <v>AL031967</v>
          </cell>
          <cell r="B980">
            <v>1967</v>
          </cell>
          <cell r="C980" t="str">
            <v>STORM 3</v>
          </cell>
          <cell r="D980" t="str">
            <v>NA</v>
          </cell>
          <cell r="E980" t="str">
            <v>NA</v>
          </cell>
          <cell r="F980" t="str">
            <v>NA</v>
          </cell>
        </row>
        <row r="981">
          <cell r="A981" t="str">
            <v>AL011966</v>
          </cell>
          <cell r="B981">
            <v>1966</v>
          </cell>
          <cell r="C981" t="str">
            <v>ALMA</v>
          </cell>
          <cell r="D981">
            <v>3</v>
          </cell>
          <cell r="E981">
            <v>100</v>
          </cell>
          <cell r="F981">
            <v>970</v>
          </cell>
        </row>
        <row r="982">
          <cell r="A982" t="str">
            <v>AL021966</v>
          </cell>
          <cell r="B982">
            <v>1966</v>
          </cell>
          <cell r="C982" t="str">
            <v>BECKY</v>
          </cell>
          <cell r="D982">
            <v>1</v>
          </cell>
          <cell r="E982">
            <v>75</v>
          </cell>
          <cell r="F982">
            <v>984</v>
          </cell>
        </row>
        <row r="983">
          <cell r="A983" t="str">
            <v>AL031966</v>
          </cell>
          <cell r="B983">
            <v>1966</v>
          </cell>
          <cell r="C983" t="str">
            <v>CELIA</v>
          </cell>
          <cell r="D983">
            <v>1</v>
          </cell>
          <cell r="E983">
            <v>65</v>
          </cell>
          <cell r="F983">
            <v>994</v>
          </cell>
        </row>
        <row r="984">
          <cell r="A984" t="str">
            <v>AL041966</v>
          </cell>
          <cell r="B984">
            <v>1966</v>
          </cell>
          <cell r="C984" t="str">
            <v>DOROTHY</v>
          </cell>
          <cell r="D984">
            <v>1</v>
          </cell>
          <cell r="E984">
            <v>75</v>
          </cell>
          <cell r="F984">
            <v>989</v>
          </cell>
        </row>
        <row r="985">
          <cell r="A985" t="str">
            <v>AL051966</v>
          </cell>
          <cell r="B985">
            <v>1966</v>
          </cell>
          <cell r="C985" t="str">
            <v>ELLA</v>
          </cell>
          <cell r="D985" t="str">
            <v>NA</v>
          </cell>
          <cell r="E985" t="str">
            <v>NA</v>
          </cell>
          <cell r="F985" t="str">
            <v>NA</v>
          </cell>
        </row>
        <row r="986">
          <cell r="A986" t="str">
            <v>AL061966</v>
          </cell>
          <cell r="B986">
            <v>1966</v>
          </cell>
          <cell r="C986" t="str">
            <v>FAITH</v>
          </cell>
          <cell r="D986">
            <v>3</v>
          </cell>
          <cell r="E986">
            <v>105</v>
          </cell>
          <cell r="F986">
            <v>950</v>
          </cell>
        </row>
        <row r="987">
          <cell r="A987" t="str">
            <v>AL071966</v>
          </cell>
          <cell r="B987">
            <v>1966</v>
          </cell>
          <cell r="C987" t="str">
            <v>GRETA</v>
          </cell>
          <cell r="D987" t="str">
            <v>NA</v>
          </cell>
          <cell r="E987" t="str">
            <v>NA</v>
          </cell>
          <cell r="F987" t="str">
            <v>NA</v>
          </cell>
        </row>
        <row r="988">
          <cell r="A988" t="str">
            <v>AL081966</v>
          </cell>
          <cell r="B988">
            <v>1966</v>
          </cell>
          <cell r="C988" t="str">
            <v>HALLIE</v>
          </cell>
          <cell r="D988" t="str">
            <v>NA</v>
          </cell>
          <cell r="E988" t="str">
            <v>NA</v>
          </cell>
          <cell r="F988" t="str">
            <v>NA</v>
          </cell>
        </row>
        <row r="989">
          <cell r="A989" t="str">
            <v>AL091966</v>
          </cell>
          <cell r="B989">
            <v>1966</v>
          </cell>
          <cell r="C989" t="str">
            <v>INEZ</v>
          </cell>
          <cell r="D989">
            <v>5</v>
          </cell>
          <cell r="E989">
            <v>140</v>
          </cell>
          <cell r="F989">
            <v>927</v>
          </cell>
        </row>
        <row r="990">
          <cell r="A990" t="str">
            <v>AL101966</v>
          </cell>
          <cell r="B990">
            <v>1966</v>
          </cell>
          <cell r="C990" t="str">
            <v>JUDITH</v>
          </cell>
          <cell r="D990" t="str">
            <v>NA</v>
          </cell>
          <cell r="E990" t="str">
            <v>NA</v>
          </cell>
          <cell r="F990" t="str">
            <v>NA</v>
          </cell>
        </row>
        <row r="991">
          <cell r="A991" t="str">
            <v>AL151966</v>
          </cell>
          <cell r="B991">
            <v>1966</v>
          </cell>
          <cell r="C991" t="str">
            <v>KENDRA</v>
          </cell>
          <cell r="D991" t="str">
            <v>NA</v>
          </cell>
          <cell r="E991" t="str">
            <v>NA</v>
          </cell>
          <cell r="F991" t="str">
            <v>NA</v>
          </cell>
        </row>
        <row r="992">
          <cell r="A992" t="str">
            <v>AL111966</v>
          </cell>
          <cell r="B992">
            <v>1966</v>
          </cell>
          <cell r="C992" t="str">
            <v>LOIS</v>
          </cell>
          <cell r="D992">
            <v>1</v>
          </cell>
          <cell r="E992">
            <v>75</v>
          </cell>
          <cell r="F992">
            <v>983</v>
          </cell>
        </row>
        <row r="993">
          <cell r="A993" t="str">
            <v>AL121966</v>
          </cell>
          <cell r="B993">
            <v>1966</v>
          </cell>
          <cell r="C993" t="str">
            <v>STORM 12</v>
          </cell>
          <cell r="D993" t="str">
            <v>NA</v>
          </cell>
          <cell r="E993" t="str">
            <v>NA</v>
          </cell>
          <cell r="F993" t="str">
            <v>NA</v>
          </cell>
        </row>
        <row r="994">
          <cell r="A994" t="str">
            <v>AL131966</v>
          </cell>
          <cell r="B994">
            <v>1966</v>
          </cell>
          <cell r="C994" t="str">
            <v>STORM 13</v>
          </cell>
          <cell r="D994" t="str">
            <v>NA</v>
          </cell>
          <cell r="E994" t="str">
            <v>NA</v>
          </cell>
          <cell r="F994" t="str">
            <v>NA</v>
          </cell>
        </row>
        <row r="995">
          <cell r="A995" t="str">
            <v>AL141966</v>
          </cell>
          <cell r="B995">
            <v>1966</v>
          </cell>
          <cell r="C995" t="str">
            <v>STORM 14</v>
          </cell>
          <cell r="D995" t="str">
            <v>NA</v>
          </cell>
          <cell r="E995" t="str">
            <v>NA</v>
          </cell>
          <cell r="F995" t="str">
            <v>NA</v>
          </cell>
        </row>
        <row r="996">
          <cell r="A996" t="str">
            <v>AL161966</v>
          </cell>
          <cell r="B996">
            <v>1966</v>
          </cell>
          <cell r="C996" t="str">
            <v>STORM 16</v>
          </cell>
          <cell r="D996" t="str">
            <v>NA</v>
          </cell>
          <cell r="E996" t="str">
            <v>NA</v>
          </cell>
          <cell r="F996" t="str">
            <v>NA</v>
          </cell>
        </row>
        <row r="997">
          <cell r="A997" t="str">
            <v>AL171966</v>
          </cell>
          <cell r="B997">
            <v>1966</v>
          </cell>
          <cell r="C997" t="str">
            <v>STORM 17</v>
          </cell>
          <cell r="D997" t="str">
            <v>NA</v>
          </cell>
          <cell r="E997" t="str">
            <v>NA</v>
          </cell>
          <cell r="F997" t="str">
            <v>NA</v>
          </cell>
        </row>
        <row r="998">
          <cell r="A998" t="str">
            <v>AL021965</v>
          </cell>
          <cell r="B998">
            <v>1965</v>
          </cell>
          <cell r="C998" t="str">
            <v>ANNA</v>
          </cell>
          <cell r="D998">
            <v>2</v>
          </cell>
          <cell r="E998">
            <v>90</v>
          </cell>
          <cell r="F998" t="str">
            <v>NA</v>
          </cell>
        </row>
        <row r="999">
          <cell r="A999" t="str">
            <v>AL031965</v>
          </cell>
          <cell r="B999">
            <v>1965</v>
          </cell>
          <cell r="C999" t="str">
            <v>BETSY</v>
          </cell>
          <cell r="D999">
            <v>4</v>
          </cell>
          <cell r="E999">
            <v>120</v>
          </cell>
          <cell r="F999">
            <v>942</v>
          </cell>
        </row>
        <row r="1000">
          <cell r="A1000" t="str">
            <v>AL041965</v>
          </cell>
          <cell r="B1000">
            <v>1965</v>
          </cell>
          <cell r="C1000" t="str">
            <v>CAROL</v>
          </cell>
          <cell r="D1000">
            <v>1</v>
          </cell>
          <cell r="E1000">
            <v>80</v>
          </cell>
          <cell r="F1000">
            <v>974</v>
          </cell>
        </row>
        <row r="1001">
          <cell r="A1001" t="str">
            <v>AL051965</v>
          </cell>
          <cell r="B1001">
            <v>1965</v>
          </cell>
          <cell r="C1001" t="str">
            <v>DEBBIE</v>
          </cell>
          <cell r="D1001" t="str">
            <v>NA</v>
          </cell>
          <cell r="E1001" t="str">
            <v>NA</v>
          </cell>
          <cell r="F1001" t="str">
            <v>NA</v>
          </cell>
        </row>
        <row r="1002">
          <cell r="A1002" t="str">
            <v>AL061965</v>
          </cell>
          <cell r="B1002">
            <v>1965</v>
          </cell>
          <cell r="C1002" t="str">
            <v>ELENA</v>
          </cell>
          <cell r="D1002">
            <v>2</v>
          </cell>
          <cell r="E1002">
            <v>95</v>
          </cell>
          <cell r="F1002">
            <v>977</v>
          </cell>
        </row>
        <row r="1003">
          <cell r="A1003" t="str">
            <v>AL011965</v>
          </cell>
          <cell r="B1003">
            <v>1965</v>
          </cell>
          <cell r="C1003" t="str">
            <v>STORM 1</v>
          </cell>
          <cell r="D1003" t="str">
            <v>NA</v>
          </cell>
          <cell r="E1003" t="str">
            <v>NA</v>
          </cell>
          <cell r="F1003" t="str">
            <v>NA</v>
          </cell>
        </row>
        <row r="1004">
          <cell r="A1004" t="str">
            <v>AL101965</v>
          </cell>
          <cell r="B1004">
            <v>1965</v>
          </cell>
          <cell r="C1004" t="str">
            <v>STORM 10</v>
          </cell>
          <cell r="D1004" t="str">
            <v>NA</v>
          </cell>
          <cell r="E1004" t="str">
            <v>NA</v>
          </cell>
          <cell r="F1004" t="str">
            <v>NA</v>
          </cell>
        </row>
        <row r="1005">
          <cell r="A1005" t="str">
            <v>AL071965</v>
          </cell>
          <cell r="B1005">
            <v>1965</v>
          </cell>
          <cell r="C1005" t="str">
            <v>STORM 7</v>
          </cell>
          <cell r="D1005" t="str">
            <v>NA</v>
          </cell>
          <cell r="E1005" t="str">
            <v>NA</v>
          </cell>
          <cell r="F1005" t="str">
            <v>NA</v>
          </cell>
        </row>
        <row r="1006">
          <cell r="A1006" t="str">
            <v>AL081965</v>
          </cell>
          <cell r="B1006">
            <v>1965</v>
          </cell>
          <cell r="C1006" t="str">
            <v>STORM 8</v>
          </cell>
          <cell r="D1006" t="str">
            <v>NA</v>
          </cell>
          <cell r="E1006" t="str">
            <v>NA</v>
          </cell>
          <cell r="F1006" t="str">
            <v>NA</v>
          </cell>
        </row>
        <row r="1007">
          <cell r="A1007" t="str">
            <v>AL091965</v>
          </cell>
          <cell r="B1007">
            <v>1965</v>
          </cell>
          <cell r="C1007" t="str">
            <v>STORM 9</v>
          </cell>
          <cell r="D1007" t="str">
            <v>NA</v>
          </cell>
          <cell r="E1007" t="str">
            <v>NA</v>
          </cell>
          <cell r="F1007" t="str">
            <v>NA</v>
          </cell>
        </row>
        <row r="1008">
          <cell r="A1008" t="str">
            <v>AL031964</v>
          </cell>
          <cell r="B1008">
            <v>1964</v>
          </cell>
          <cell r="C1008" t="str">
            <v>ABBY</v>
          </cell>
          <cell r="D1008" t="str">
            <v>NA</v>
          </cell>
          <cell r="E1008" t="str">
            <v>NA</v>
          </cell>
          <cell r="F1008" t="str">
            <v>NA</v>
          </cell>
        </row>
        <row r="1009">
          <cell r="A1009" t="str">
            <v>AL041964</v>
          </cell>
          <cell r="B1009">
            <v>1964</v>
          </cell>
          <cell r="C1009" t="str">
            <v>BRENDA</v>
          </cell>
          <cell r="D1009" t="str">
            <v>NA</v>
          </cell>
          <cell r="E1009" t="str">
            <v>NA</v>
          </cell>
          <cell r="F1009" t="str">
            <v>NA</v>
          </cell>
        </row>
        <row r="1010">
          <cell r="A1010" t="str">
            <v>AL051964</v>
          </cell>
          <cell r="B1010">
            <v>1964</v>
          </cell>
          <cell r="C1010" t="str">
            <v>CLEO</v>
          </cell>
          <cell r="D1010">
            <v>4</v>
          </cell>
          <cell r="E1010">
            <v>130</v>
          </cell>
          <cell r="F1010">
            <v>938</v>
          </cell>
        </row>
        <row r="1011">
          <cell r="A1011" t="str">
            <v>AL061964</v>
          </cell>
          <cell r="B1011">
            <v>1964</v>
          </cell>
          <cell r="C1011" t="str">
            <v>DORA</v>
          </cell>
          <cell r="D1011">
            <v>4</v>
          </cell>
          <cell r="E1011">
            <v>115</v>
          </cell>
          <cell r="F1011">
            <v>942</v>
          </cell>
        </row>
        <row r="1012">
          <cell r="A1012" t="str">
            <v>AL071964</v>
          </cell>
          <cell r="B1012">
            <v>1964</v>
          </cell>
          <cell r="C1012" t="str">
            <v>ETHEL</v>
          </cell>
          <cell r="D1012">
            <v>2</v>
          </cell>
          <cell r="E1012">
            <v>90</v>
          </cell>
          <cell r="F1012">
            <v>974</v>
          </cell>
        </row>
        <row r="1013">
          <cell r="A1013" t="str">
            <v>AL081964</v>
          </cell>
          <cell r="B1013">
            <v>1964</v>
          </cell>
          <cell r="C1013" t="str">
            <v>FLORENCE</v>
          </cell>
          <cell r="D1013" t="str">
            <v>NA</v>
          </cell>
          <cell r="E1013" t="str">
            <v>NA</v>
          </cell>
          <cell r="F1013" t="str">
            <v>NA</v>
          </cell>
        </row>
        <row r="1014">
          <cell r="A1014" t="str">
            <v>AL091964</v>
          </cell>
          <cell r="B1014">
            <v>1964</v>
          </cell>
          <cell r="C1014" t="str">
            <v>GLADYS</v>
          </cell>
          <cell r="D1014">
            <v>4</v>
          </cell>
          <cell r="E1014">
            <v>115</v>
          </cell>
          <cell r="F1014">
            <v>945</v>
          </cell>
        </row>
        <row r="1015">
          <cell r="A1015" t="str">
            <v>AL101964</v>
          </cell>
          <cell r="B1015">
            <v>1964</v>
          </cell>
          <cell r="C1015" t="str">
            <v>HILDA</v>
          </cell>
          <cell r="D1015">
            <v>4</v>
          </cell>
          <cell r="E1015">
            <v>120</v>
          </cell>
          <cell r="F1015">
            <v>941</v>
          </cell>
        </row>
        <row r="1016">
          <cell r="A1016" t="str">
            <v>AL111964</v>
          </cell>
          <cell r="B1016">
            <v>1964</v>
          </cell>
          <cell r="C1016" t="str">
            <v>ISBELL</v>
          </cell>
          <cell r="D1016">
            <v>3</v>
          </cell>
          <cell r="E1016">
            <v>100</v>
          </cell>
          <cell r="F1016">
            <v>964</v>
          </cell>
        </row>
        <row r="1017">
          <cell r="A1017" t="str">
            <v>AL011964</v>
          </cell>
          <cell r="B1017">
            <v>1964</v>
          </cell>
          <cell r="C1017" t="str">
            <v>STORM 1</v>
          </cell>
          <cell r="D1017" t="str">
            <v>NA</v>
          </cell>
          <cell r="E1017" t="str">
            <v>NA</v>
          </cell>
          <cell r="F1017" t="str">
            <v>NA</v>
          </cell>
        </row>
        <row r="1018">
          <cell r="A1018" t="str">
            <v>AL121964</v>
          </cell>
          <cell r="B1018">
            <v>1964</v>
          </cell>
          <cell r="C1018" t="str">
            <v>STORM 12</v>
          </cell>
          <cell r="D1018" t="str">
            <v>NA</v>
          </cell>
          <cell r="E1018" t="str">
            <v>NA</v>
          </cell>
          <cell r="F1018" t="str">
            <v>NA</v>
          </cell>
        </row>
        <row r="1019">
          <cell r="A1019" t="str">
            <v>AL131964</v>
          </cell>
          <cell r="B1019">
            <v>1964</v>
          </cell>
          <cell r="C1019" t="str">
            <v>STORM 13</v>
          </cell>
          <cell r="D1019" t="str">
            <v>NA</v>
          </cell>
          <cell r="E1019" t="str">
            <v>NA</v>
          </cell>
          <cell r="F1019" t="str">
            <v>NA</v>
          </cell>
        </row>
        <row r="1020">
          <cell r="A1020" t="str">
            <v>AL021964</v>
          </cell>
          <cell r="B1020">
            <v>1964</v>
          </cell>
          <cell r="C1020" t="str">
            <v>STORM 2</v>
          </cell>
          <cell r="D1020">
            <v>1</v>
          </cell>
          <cell r="E1020">
            <v>75</v>
          </cell>
          <cell r="F1020" t="str">
            <v>NA</v>
          </cell>
        </row>
        <row r="1021">
          <cell r="A1021" t="str">
            <v>AL011963</v>
          </cell>
          <cell r="B1021">
            <v>1963</v>
          </cell>
          <cell r="C1021" t="str">
            <v>ARLENE</v>
          </cell>
          <cell r="D1021">
            <v>3</v>
          </cell>
          <cell r="E1021">
            <v>100</v>
          </cell>
          <cell r="F1021">
            <v>969</v>
          </cell>
        </row>
        <row r="1022">
          <cell r="A1022" t="str">
            <v>AL021963</v>
          </cell>
          <cell r="B1022">
            <v>1963</v>
          </cell>
          <cell r="C1022" t="str">
            <v>BEULAH</v>
          </cell>
          <cell r="D1022">
            <v>3</v>
          </cell>
          <cell r="E1022">
            <v>105</v>
          </cell>
          <cell r="F1022">
            <v>958</v>
          </cell>
        </row>
        <row r="1023">
          <cell r="A1023" t="str">
            <v>AL041963</v>
          </cell>
          <cell r="B1023">
            <v>1963</v>
          </cell>
          <cell r="C1023" t="str">
            <v>CINDY</v>
          </cell>
          <cell r="D1023" t="str">
            <v>NA</v>
          </cell>
          <cell r="E1023" t="str">
            <v>NA</v>
          </cell>
          <cell r="F1023" t="str">
            <v>NA</v>
          </cell>
        </row>
        <row r="1024">
          <cell r="A1024" t="str">
            <v>AL051963</v>
          </cell>
          <cell r="B1024">
            <v>1963</v>
          </cell>
          <cell r="C1024" t="str">
            <v>DEBRA</v>
          </cell>
          <cell r="D1024">
            <v>1</v>
          </cell>
          <cell r="E1024">
            <v>65</v>
          </cell>
          <cell r="F1024">
            <v>1000</v>
          </cell>
        </row>
        <row r="1025">
          <cell r="A1025" t="str">
            <v>AL061963</v>
          </cell>
          <cell r="B1025">
            <v>1963</v>
          </cell>
          <cell r="C1025" t="str">
            <v>EDITH</v>
          </cell>
          <cell r="D1025">
            <v>2</v>
          </cell>
          <cell r="E1025">
            <v>85</v>
          </cell>
          <cell r="F1025">
            <v>990</v>
          </cell>
        </row>
        <row r="1026">
          <cell r="A1026" t="str">
            <v>AL071963</v>
          </cell>
          <cell r="B1026">
            <v>1963</v>
          </cell>
          <cell r="C1026" t="str">
            <v>FLORA</v>
          </cell>
          <cell r="D1026">
            <v>4</v>
          </cell>
          <cell r="E1026">
            <v>130</v>
          </cell>
          <cell r="F1026">
            <v>933</v>
          </cell>
        </row>
        <row r="1027">
          <cell r="A1027" t="str">
            <v>AL081963</v>
          </cell>
          <cell r="B1027">
            <v>1963</v>
          </cell>
          <cell r="C1027" t="str">
            <v>GINNY</v>
          </cell>
          <cell r="D1027">
            <v>2</v>
          </cell>
          <cell r="E1027">
            <v>95</v>
          </cell>
          <cell r="F1027">
            <v>948</v>
          </cell>
        </row>
        <row r="1028">
          <cell r="A1028" t="str">
            <v>AL091963</v>
          </cell>
          <cell r="B1028">
            <v>1963</v>
          </cell>
          <cell r="C1028" t="str">
            <v>HELENA</v>
          </cell>
          <cell r="D1028" t="str">
            <v>NA</v>
          </cell>
          <cell r="E1028" t="str">
            <v>NA</v>
          </cell>
          <cell r="F1028" t="str">
            <v>NA</v>
          </cell>
        </row>
        <row r="1029">
          <cell r="A1029" t="str">
            <v>AL101963</v>
          </cell>
          <cell r="B1029">
            <v>1963</v>
          </cell>
          <cell r="C1029" t="str">
            <v>STORM 10</v>
          </cell>
          <cell r="D1029" t="str">
            <v>NA</v>
          </cell>
          <cell r="E1029" t="str">
            <v>NA</v>
          </cell>
          <cell r="F1029" t="str">
            <v>NA</v>
          </cell>
        </row>
        <row r="1030">
          <cell r="A1030" t="str">
            <v>AL031963</v>
          </cell>
          <cell r="B1030">
            <v>1963</v>
          </cell>
          <cell r="C1030" t="str">
            <v>STORM 3</v>
          </cell>
          <cell r="D1030">
            <v>1</v>
          </cell>
          <cell r="E1030">
            <v>70</v>
          </cell>
          <cell r="F1030">
            <v>990</v>
          </cell>
        </row>
      </sheetData>
      <sheetData sheetId="5">
        <row r="1">
          <cell r="A1" t="str">
            <v>hurdatid</v>
          </cell>
          <cell r="B1" t="str">
            <v>storm_year</v>
          </cell>
          <cell r="C1" t="str">
            <v>storm_name</v>
          </cell>
          <cell r="D1" t="str">
            <v>lfsource</v>
          </cell>
          <cell r="E1" t="str">
            <v>max_lf_windspeed</v>
          </cell>
          <cell r="F1" t="str">
            <v>min_lf_pressure</v>
          </cell>
          <cell r="G1" t="str">
            <v>max_hurricane_category</v>
          </cell>
        </row>
        <row r="2">
          <cell r="A2" t="str">
            <v>AL041963</v>
          </cell>
          <cell r="B2">
            <v>1963</v>
          </cell>
          <cell r="C2" t="str">
            <v>CINDY</v>
          </cell>
          <cell r="D2" t="str">
            <v>hurdat</v>
          </cell>
          <cell r="E2">
            <v>55</v>
          </cell>
          <cell r="F2">
            <v>997</v>
          </cell>
          <cell r="G2" t="str">
            <v>NA</v>
          </cell>
        </row>
        <row r="3">
          <cell r="A3" t="str">
            <v>AL051964</v>
          </cell>
          <cell r="B3">
            <v>1964</v>
          </cell>
          <cell r="C3" t="str">
            <v>CLEO</v>
          </cell>
          <cell r="D3" t="str">
            <v>hurdat</v>
          </cell>
          <cell r="E3">
            <v>95</v>
          </cell>
          <cell r="F3">
            <v>968</v>
          </cell>
          <cell r="G3">
            <v>2</v>
          </cell>
        </row>
        <row r="4">
          <cell r="A4" t="str">
            <v>AL061964</v>
          </cell>
          <cell r="B4">
            <v>1964</v>
          </cell>
          <cell r="C4" t="str">
            <v>DORA</v>
          </cell>
          <cell r="D4" t="str">
            <v>hurdat</v>
          </cell>
          <cell r="E4">
            <v>95</v>
          </cell>
          <cell r="F4">
            <v>966</v>
          </cell>
          <cell r="G4">
            <v>2</v>
          </cell>
        </row>
        <row r="5">
          <cell r="A5" t="str">
            <v>AL101964</v>
          </cell>
          <cell r="B5">
            <v>1964</v>
          </cell>
          <cell r="C5" t="str">
            <v>HILDA</v>
          </cell>
          <cell r="D5" t="str">
            <v>hurdat</v>
          </cell>
          <cell r="E5">
            <v>90</v>
          </cell>
          <cell r="F5">
            <v>959</v>
          </cell>
          <cell r="G5">
            <v>2</v>
          </cell>
        </row>
        <row r="6">
          <cell r="A6" t="str">
            <v>AL111964</v>
          </cell>
          <cell r="B6">
            <v>1964</v>
          </cell>
          <cell r="C6" t="str">
            <v>ISBELL</v>
          </cell>
          <cell r="D6" t="str">
            <v>hurdat</v>
          </cell>
          <cell r="E6">
            <v>90</v>
          </cell>
          <cell r="F6">
            <v>970</v>
          </cell>
          <cell r="G6">
            <v>2</v>
          </cell>
        </row>
        <row r="7">
          <cell r="A7" t="str">
            <v>AL031965</v>
          </cell>
          <cell r="B7">
            <v>1965</v>
          </cell>
          <cell r="C7" t="str">
            <v>BETSY</v>
          </cell>
          <cell r="D7" t="str">
            <v>hurdat</v>
          </cell>
          <cell r="E7">
            <v>115</v>
          </cell>
          <cell r="F7">
            <v>946</v>
          </cell>
          <cell r="G7">
            <v>4</v>
          </cell>
        </row>
        <row r="8">
          <cell r="A8" t="str">
            <v>AL051965</v>
          </cell>
          <cell r="B8">
            <v>1965</v>
          </cell>
          <cell r="C8" t="str">
            <v>DEBBIE</v>
          </cell>
          <cell r="D8" t="str">
            <v>hurdat</v>
          </cell>
          <cell r="E8">
            <v>35</v>
          </cell>
          <cell r="F8">
            <v>1002</v>
          </cell>
          <cell r="G8" t="str">
            <v>NA</v>
          </cell>
        </row>
        <row r="9">
          <cell r="A9" t="str">
            <v>AL011966</v>
          </cell>
          <cell r="B9">
            <v>1966</v>
          </cell>
          <cell r="C9" t="str">
            <v>ALMA</v>
          </cell>
          <cell r="D9" t="str">
            <v>hurdat</v>
          </cell>
          <cell r="E9">
            <v>75</v>
          </cell>
          <cell r="F9">
            <v>977</v>
          </cell>
          <cell r="G9">
            <v>1</v>
          </cell>
        </row>
        <row r="10">
          <cell r="A10" t="str">
            <v>AL141968</v>
          </cell>
          <cell r="B10">
            <v>1968</v>
          </cell>
          <cell r="C10" t="str">
            <v>GLADYS</v>
          </cell>
          <cell r="D10" t="str">
            <v>hurdat</v>
          </cell>
          <cell r="E10">
            <v>85</v>
          </cell>
          <cell r="F10">
            <v>978</v>
          </cell>
          <cell r="G10">
            <v>2</v>
          </cell>
        </row>
        <row r="11">
          <cell r="A11" t="str">
            <v>AL091969</v>
          </cell>
          <cell r="B11">
            <v>1969</v>
          </cell>
          <cell r="C11" t="str">
            <v>CAMILLE</v>
          </cell>
          <cell r="D11" t="str">
            <v>hurdat</v>
          </cell>
          <cell r="E11">
            <v>150</v>
          </cell>
          <cell r="F11">
            <v>900</v>
          </cell>
          <cell r="G11">
            <v>5</v>
          </cell>
        </row>
        <row r="12">
          <cell r="A12" t="str">
            <v>AL041970</v>
          </cell>
          <cell r="B12">
            <v>1970</v>
          </cell>
          <cell r="C12" t="str">
            <v>CELIA</v>
          </cell>
          <cell r="D12" t="str">
            <v>hurdat</v>
          </cell>
          <cell r="E12">
            <v>120</v>
          </cell>
          <cell r="F12">
            <v>944</v>
          </cell>
          <cell r="G12">
            <v>4</v>
          </cell>
        </row>
        <row r="13">
          <cell r="A13" t="str">
            <v>AL031983</v>
          </cell>
          <cell r="B13">
            <v>1983</v>
          </cell>
          <cell r="C13" t="str">
            <v>ALICIA</v>
          </cell>
          <cell r="D13" t="str">
            <v>hurdat</v>
          </cell>
          <cell r="E13">
            <v>100</v>
          </cell>
          <cell r="F13">
            <v>962</v>
          </cell>
          <cell r="G13">
            <v>3</v>
          </cell>
        </row>
        <row r="14">
          <cell r="A14" t="str">
            <v>AL101984</v>
          </cell>
          <cell r="B14">
            <v>1984</v>
          </cell>
          <cell r="C14" t="str">
            <v>DIANA</v>
          </cell>
          <cell r="D14" t="str">
            <v>hurdat</v>
          </cell>
          <cell r="E14">
            <v>80</v>
          </cell>
          <cell r="F14">
            <v>979</v>
          </cell>
          <cell r="G14">
            <v>1</v>
          </cell>
        </row>
        <row r="15">
          <cell r="A15" t="str">
            <v>AL041985</v>
          </cell>
          <cell r="B15">
            <v>1985</v>
          </cell>
          <cell r="C15" t="str">
            <v>DANNY</v>
          </cell>
          <cell r="D15" t="str">
            <v>hurdat</v>
          </cell>
          <cell r="E15">
            <v>80</v>
          </cell>
          <cell r="F15">
            <v>987</v>
          </cell>
          <cell r="G15">
            <v>1</v>
          </cell>
        </row>
        <row r="16">
          <cell r="A16" t="str">
            <v>AL051985</v>
          </cell>
          <cell r="B16">
            <v>1985</v>
          </cell>
          <cell r="C16" t="str">
            <v>ELENA</v>
          </cell>
          <cell r="D16" t="str">
            <v>hurdat</v>
          </cell>
          <cell r="E16">
            <v>100</v>
          </cell>
          <cell r="F16">
            <v>959</v>
          </cell>
          <cell r="G16">
            <v>3</v>
          </cell>
        </row>
        <row r="17">
          <cell r="A17" t="str">
            <v>AL091985</v>
          </cell>
          <cell r="B17">
            <v>1985</v>
          </cell>
          <cell r="C17" t="str">
            <v>GLORIA</v>
          </cell>
          <cell r="D17" t="str">
            <v>hurdat</v>
          </cell>
          <cell r="E17">
            <v>90</v>
          </cell>
          <cell r="F17">
            <v>942</v>
          </cell>
          <cell r="G17">
            <v>2</v>
          </cell>
        </row>
        <row r="18">
          <cell r="A18" t="str">
            <v>AL121985</v>
          </cell>
          <cell r="B18">
            <v>1985</v>
          </cell>
          <cell r="C18" t="str">
            <v>JUAN</v>
          </cell>
          <cell r="D18" t="str">
            <v>hurdat</v>
          </cell>
          <cell r="E18">
            <v>65</v>
          </cell>
          <cell r="F18">
            <v>974</v>
          </cell>
          <cell r="G18">
            <v>1</v>
          </cell>
        </row>
        <row r="19">
          <cell r="A19" t="str">
            <v>AL131985</v>
          </cell>
          <cell r="B19">
            <v>1985</v>
          </cell>
          <cell r="C19" t="str">
            <v>KATE</v>
          </cell>
          <cell r="D19" t="str">
            <v>hurdat</v>
          </cell>
          <cell r="E19">
            <v>85</v>
          </cell>
          <cell r="F19">
            <v>967</v>
          </cell>
          <cell r="G19">
            <v>2</v>
          </cell>
        </row>
        <row r="20">
          <cell r="A20" t="str">
            <v>AL021986</v>
          </cell>
          <cell r="B20">
            <v>1986</v>
          </cell>
          <cell r="C20" t="str">
            <v>BONNIE</v>
          </cell>
          <cell r="D20" t="str">
            <v>hurdat</v>
          </cell>
          <cell r="E20">
            <v>75</v>
          </cell>
          <cell r="F20">
            <v>990</v>
          </cell>
          <cell r="G20">
            <v>1</v>
          </cell>
        </row>
        <row r="21">
          <cell r="A21" t="str">
            <v>AL051986</v>
          </cell>
          <cell r="B21">
            <v>1986</v>
          </cell>
          <cell r="C21" t="str">
            <v>CHARLEY</v>
          </cell>
          <cell r="D21" t="str">
            <v>hurdat</v>
          </cell>
          <cell r="E21">
            <v>65</v>
          </cell>
          <cell r="F21">
            <v>990</v>
          </cell>
          <cell r="G21">
            <v>1</v>
          </cell>
        </row>
        <row r="22">
          <cell r="A22" t="str">
            <v>AL131987</v>
          </cell>
          <cell r="B22">
            <v>1987</v>
          </cell>
          <cell r="C22" t="str">
            <v>FLOYD</v>
          </cell>
          <cell r="D22" t="str">
            <v>hurdat</v>
          </cell>
          <cell r="E22">
            <v>65</v>
          </cell>
          <cell r="F22">
            <v>993</v>
          </cell>
          <cell r="G22">
            <v>1</v>
          </cell>
        </row>
        <row r="23">
          <cell r="A23" t="str">
            <v>AL071988</v>
          </cell>
          <cell r="B23">
            <v>1988</v>
          </cell>
          <cell r="C23" t="str">
            <v>FLORENCE</v>
          </cell>
          <cell r="D23" t="str">
            <v>hurdat</v>
          </cell>
          <cell r="E23">
            <v>70</v>
          </cell>
          <cell r="F23">
            <v>984</v>
          </cell>
          <cell r="G23">
            <v>1</v>
          </cell>
        </row>
        <row r="24">
          <cell r="A24" t="str">
            <v>AL021989</v>
          </cell>
          <cell r="B24">
            <v>1989</v>
          </cell>
          <cell r="C24" t="str">
            <v>ALLISON</v>
          </cell>
          <cell r="D24" t="str">
            <v>hurdat</v>
          </cell>
          <cell r="E24">
            <v>40</v>
          </cell>
          <cell r="F24">
            <v>1002</v>
          </cell>
          <cell r="G24" t="str">
            <v>NA</v>
          </cell>
        </row>
        <row r="25">
          <cell r="A25" t="str">
            <v>AL041989</v>
          </cell>
          <cell r="B25">
            <v>1989</v>
          </cell>
          <cell r="C25" t="str">
            <v>CHANTAL</v>
          </cell>
          <cell r="D25" t="str">
            <v>hurdat</v>
          </cell>
          <cell r="E25">
            <v>70</v>
          </cell>
          <cell r="F25">
            <v>986</v>
          </cell>
          <cell r="G25">
            <v>1</v>
          </cell>
        </row>
        <row r="26">
          <cell r="A26" t="str">
            <v>AL111989</v>
          </cell>
          <cell r="B26">
            <v>1989</v>
          </cell>
          <cell r="C26" t="str">
            <v>HUGO</v>
          </cell>
          <cell r="D26" t="str">
            <v>hurdat</v>
          </cell>
          <cell r="E26">
            <v>120</v>
          </cell>
          <cell r="F26">
            <v>934</v>
          </cell>
          <cell r="G26">
            <v>4</v>
          </cell>
        </row>
        <row r="27">
          <cell r="A27" t="str">
            <v>AL141989</v>
          </cell>
          <cell r="B27">
            <v>1989</v>
          </cell>
          <cell r="C27" t="str">
            <v>JERRY</v>
          </cell>
          <cell r="D27" t="str">
            <v>hurdat</v>
          </cell>
          <cell r="E27">
            <v>75</v>
          </cell>
          <cell r="F27">
            <v>983</v>
          </cell>
          <cell r="G27">
            <v>1</v>
          </cell>
        </row>
        <row r="28">
          <cell r="A28" t="str">
            <v>AL031991</v>
          </cell>
          <cell r="B28">
            <v>1991</v>
          </cell>
          <cell r="C28" t="str">
            <v>BOB</v>
          </cell>
          <cell r="D28" t="str">
            <v>hurdat</v>
          </cell>
          <cell r="E28">
            <v>60</v>
          </cell>
          <cell r="F28">
            <v>981</v>
          </cell>
          <cell r="G28" t="str">
            <v>NA</v>
          </cell>
        </row>
        <row r="29">
          <cell r="A29" t="str">
            <v>AL041992</v>
          </cell>
          <cell r="B29">
            <v>1992</v>
          </cell>
          <cell r="C29" t="str">
            <v>ANDREW</v>
          </cell>
          <cell r="D29" t="str">
            <v>hurdat</v>
          </cell>
          <cell r="E29">
            <v>145</v>
          </cell>
          <cell r="F29">
            <v>922</v>
          </cell>
          <cell r="G29">
            <v>5</v>
          </cell>
        </row>
        <row r="30">
          <cell r="A30" t="str">
            <v>AL021993</v>
          </cell>
          <cell r="B30">
            <v>1993</v>
          </cell>
          <cell r="C30" t="str">
            <v>ARLENE</v>
          </cell>
          <cell r="D30" t="str">
            <v>hurdat</v>
          </cell>
          <cell r="E30">
            <v>35</v>
          </cell>
          <cell r="F30">
            <v>1001</v>
          </cell>
          <cell r="G30" t="str">
            <v>NA</v>
          </cell>
        </row>
        <row r="31">
          <cell r="A31" t="str">
            <v>AL011994</v>
          </cell>
          <cell r="B31">
            <v>1994</v>
          </cell>
          <cell r="C31" t="str">
            <v>ALBERTO</v>
          </cell>
          <cell r="D31" t="str">
            <v>hurdat</v>
          </cell>
          <cell r="E31">
            <v>55</v>
          </cell>
          <cell r="F31">
            <v>993</v>
          </cell>
          <cell r="G31" t="str">
            <v>NA</v>
          </cell>
        </row>
        <row r="32">
          <cell r="A32" t="str">
            <v>AL031994</v>
          </cell>
          <cell r="B32">
            <v>1994</v>
          </cell>
          <cell r="C32" t="str">
            <v>BERYL</v>
          </cell>
          <cell r="D32" t="str">
            <v>hurdat</v>
          </cell>
          <cell r="E32">
            <v>50</v>
          </cell>
          <cell r="F32">
            <v>1000</v>
          </cell>
          <cell r="G32" t="str">
            <v>NA</v>
          </cell>
        </row>
        <row r="33">
          <cell r="A33" t="str">
            <v>AL121994</v>
          </cell>
          <cell r="B33">
            <v>1994</v>
          </cell>
          <cell r="C33" t="str">
            <v>GORDON</v>
          </cell>
          <cell r="D33" t="str">
            <v>hurdat</v>
          </cell>
          <cell r="E33">
            <v>45</v>
          </cell>
          <cell r="F33">
            <v>996</v>
          </cell>
          <cell r="G33" t="str">
            <v>NA</v>
          </cell>
        </row>
        <row r="34">
          <cell r="A34" t="str">
            <v>AL051995</v>
          </cell>
          <cell r="B34">
            <v>1995</v>
          </cell>
          <cell r="C34" t="str">
            <v>ERIN</v>
          </cell>
          <cell r="D34" t="str">
            <v>hurdat</v>
          </cell>
          <cell r="E34">
            <v>75</v>
          </cell>
          <cell r="F34">
            <v>973</v>
          </cell>
          <cell r="G34">
            <v>1</v>
          </cell>
        </row>
        <row r="35">
          <cell r="A35" t="str">
            <v>AL111995</v>
          </cell>
          <cell r="B35">
            <v>1995</v>
          </cell>
          <cell r="C35" t="str">
            <v>JERRY</v>
          </cell>
          <cell r="D35" t="str">
            <v>hurdat</v>
          </cell>
          <cell r="E35">
            <v>35</v>
          </cell>
          <cell r="F35">
            <v>1006</v>
          </cell>
          <cell r="G35" t="str">
            <v>NA</v>
          </cell>
        </row>
        <row r="36">
          <cell r="A36" t="str">
            <v>AL171995</v>
          </cell>
          <cell r="B36">
            <v>1995</v>
          </cell>
          <cell r="C36" t="str">
            <v>OPAL</v>
          </cell>
          <cell r="D36" t="str">
            <v>hurdat</v>
          </cell>
          <cell r="E36">
            <v>100</v>
          </cell>
          <cell r="F36">
            <v>942</v>
          </cell>
          <cell r="G36">
            <v>3</v>
          </cell>
        </row>
        <row r="37">
          <cell r="A37" t="str">
            <v>AL021996</v>
          </cell>
          <cell r="B37">
            <v>1996</v>
          </cell>
          <cell r="C37" t="str">
            <v>BERTHA</v>
          </cell>
          <cell r="D37" t="str">
            <v>hurdat</v>
          </cell>
          <cell r="E37">
            <v>90</v>
          </cell>
          <cell r="F37">
            <v>974</v>
          </cell>
          <cell r="G37">
            <v>2</v>
          </cell>
        </row>
        <row r="38">
          <cell r="A38" t="str">
            <v>AL061996</v>
          </cell>
          <cell r="B38">
            <v>1996</v>
          </cell>
          <cell r="C38" t="str">
            <v>FRAN</v>
          </cell>
          <cell r="D38" t="str">
            <v>hurdat</v>
          </cell>
          <cell r="E38">
            <v>100</v>
          </cell>
          <cell r="F38">
            <v>954</v>
          </cell>
          <cell r="G38">
            <v>3</v>
          </cell>
        </row>
        <row r="39">
          <cell r="A39" t="str">
            <v>AL101996</v>
          </cell>
          <cell r="B39">
            <v>1996</v>
          </cell>
          <cell r="C39" t="str">
            <v>JOSEPHINE</v>
          </cell>
          <cell r="D39" t="str">
            <v>hurdat</v>
          </cell>
          <cell r="E39">
            <v>60</v>
          </cell>
          <cell r="F39">
            <v>983</v>
          </cell>
          <cell r="G39" t="str">
            <v>NA</v>
          </cell>
        </row>
        <row r="40">
          <cell r="A40" t="str">
            <v>AL051997</v>
          </cell>
          <cell r="B40">
            <v>1997</v>
          </cell>
          <cell r="C40" t="str">
            <v>DANNY</v>
          </cell>
          <cell r="D40" t="str">
            <v>hurdat</v>
          </cell>
          <cell r="E40">
            <v>70</v>
          </cell>
          <cell r="F40">
            <v>984</v>
          </cell>
          <cell r="G40">
            <v>1</v>
          </cell>
        </row>
        <row r="41">
          <cell r="A41" t="str">
            <v>AL021998</v>
          </cell>
          <cell r="B41">
            <v>1998</v>
          </cell>
          <cell r="C41" t="str">
            <v>BONNIE</v>
          </cell>
          <cell r="D41" t="str">
            <v>hurdat</v>
          </cell>
          <cell r="E41">
            <v>95</v>
          </cell>
          <cell r="F41">
            <v>964</v>
          </cell>
          <cell r="G41">
            <v>2</v>
          </cell>
        </row>
        <row r="42">
          <cell r="A42" t="str">
            <v>AL051998</v>
          </cell>
          <cell r="B42">
            <v>1998</v>
          </cell>
          <cell r="C42" t="str">
            <v>EARL</v>
          </cell>
          <cell r="D42" t="str">
            <v>hurdat</v>
          </cell>
          <cell r="E42">
            <v>70</v>
          </cell>
          <cell r="F42">
            <v>987</v>
          </cell>
          <cell r="G42">
            <v>1</v>
          </cell>
        </row>
        <row r="43">
          <cell r="A43" t="str">
            <v>AL061998</v>
          </cell>
          <cell r="B43">
            <v>1998</v>
          </cell>
          <cell r="C43" t="str">
            <v>FRANCES</v>
          </cell>
          <cell r="D43" t="str">
            <v>hurdat</v>
          </cell>
          <cell r="E43">
            <v>45</v>
          </cell>
          <cell r="F43">
            <v>990</v>
          </cell>
          <cell r="G43" t="str">
            <v>NA</v>
          </cell>
        </row>
        <row r="44">
          <cell r="A44" t="str">
            <v>AL071998</v>
          </cell>
          <cell r="B44">
            <v>1998</v>
          </cell>
          <cell r="C44" t="str">
            <v>GEORGES</v>
          </cell>
          <cell r="D44" t="str">
            <v>hurdat</v>
          </cell>
          <cell r="E44">
            <v>90</v>
          </cell>
          <cell r="F44">
            <v>964</v>
          </cell>
          <cell r="G44">
            <v>2</v>
          </cell>
        </row>
        <row r="45">
          <cell r="A45" t="str">
            <v>AL131998</v>
          </cell>
          <cell r="B45">
            <v>1998</v>
          </cell>
          <cell r="C45" t="str">
            <v>MITCH</v>
          </cell>
          <cell r="D45" t="str">
            <v>hurdat</v>
          </cell>
          <cell r="E45">
            <v>55</v>
          </cell>
          <cell r="F45">
            <v>989</v>
          </cell>
          <cell r="G45" t="str">
            <v>NA</v>
          </cell>
        </row>
        <row r="46">
          <cell r="A46" t="str">
            <v>AL031999</v>
          </cell>
          <cell r="B46">
            <v>1999</v>
          </cell>
          <cell r="C46" t="str">
            <v>BRET</v>
          </cell>
          <cell r="D46" t="str">
            <v>hurdat</v>
          </cell>
          <cell r="E46">
            <v>100</v>
          </cell>
          <cell r="F46">
            <v>951</v>
          </cell>
          <cell r="G46">
            <v>3</v>
          </cell>
        </row>
        <row r="47">
          <cell r="A47" t="str">
            <v>AL051999</v>
          </cell>
          <cell r="B47">
            <v>1999</v>
          </cell>
          <cell r="C47" t="str">
            <v>DENNIS</v>
          </cell>
          <cell r="D47" t="str">
            <v>hurdat</v>
          </cell>
          <cell r="E47">
            <v>60</v>
          </cell>
          <cell r="F47">
            <v>984</v>
          </cell>
          <cell r="G47" t="str">
            <v>NA</v>
          </cell>
        </row>
        <row r="48">
          <cell r="A48" t="str">
            <v>AL081999</v>
          </cell>
          <cell r="B48">
            <v>1999</v>
          </cell>
          <cell r="C48" t="str">
            <v>FLOYD</v>
          </cell>
          <cell r="D48" t="str">
            <v>hurdat</v>
          </cell>
          <cell r="E48">
            <v>90</v>
          </cell>
          <cell r="F48">
            <v>956</v>
          </cell>
          <cell r="G48">
            <v>2</v>
          </cell>
        </row>
        <row r="49">
          <cell r="A49" t="str">
            <v>AL101999</v>
          </cell>
          <cell r="B49">
            <v>1999</v>
          </cell>
          <cell r="C49" t="str">
            <v>HARVEY</v>
          </cell>
          <cell r="D49" t="str">
            <v>hurdat</v>
          </cell>
          <cell r="E49">
            <v>50</v>
          </cell>
          <cell r="F49">
            <v>999</v>
          </cell>
          <cell r="G49" t="str">
            <v>NA</v>
          </cell>
        </row>
        <row r="50">
          <cell r="A50" t="str">
            <v>AL131999</v>
          </cell>
          <cell r="B50">
            <v>1999</v>
          </cell>
          <cell r="C50" t="str">
            <v>IRENE</v>
          </cell>
          <cell r="D50" t="str">
            <v>hurdat</v>
          </cell>
          <cell r="E50">
            <v>70</v>
          </cell>
          <cell r="F50">
            <v>987</v>
          </cell>
          <cell r="G50">
            <v>1</v>
          </cell>
        </row>
        <row r="51">
          <cell r="A51" t="str">
            <v>AL112000</v>
          </cell>
          <cell r="B51">
            <v>2000</v>
          </cell>
          <cell r="C51" t="str">
            <v>GORDON</v>
          </cell>
          <cell r="D51" t="str">
            <v>hurdat</v>
          </cell>
          <cell r="E51">
            <v>55</v>
          </cell>
          <cell r="F51">
            <v>991</v>
          </cell>
          <cell r="G51" t="str">
            <v>NA</v>
          </cell>
        </row>
        <row r="52">
          <cell r="A52" t="str">
            <v>AL122000</v>
          </cell>
          <cell r="B52">
            <v>2000</v>
          </cell>
          <cell r="C52" t="str">
            <v>HELENE</v>
          </cell>
          <cell r="D52" t="str">
            <v>hurdat</v>
          </cell>
          <cell r="E52">
            <v>35</v>
          </cell>
          <cell r="F52">
            <v>1006</v>
          </cell>
          <cell r="G52" t="str">
            <v>NA</v>
          </cell>
        </row>
        <row r="53">
          <cell r="A53" t="str">
            <v>AL012001</v>
          </cell>
          <cell r="B53">
            <v>2001</v>
          </cell>
          <cell r="C53" t="str">
            <v>ALLISON</v>
          </cell>
          <cell r="D53" t="str">
            <v>hurdat</v>
          </cell>
          <cell r="E53">
            <v>45</v>
          </cell>
          <cell r="F53">
            <v>1003</v>
          </cell>
          <cell r="G53" t="str">
            <v>NA</v>
          </cell>
        </row>
        <row r="54">
          <cell r="A54" t="str">
            <v>AL032001</v>
          </cell>
          <cell r="B54">
            <v>2001</v>
          </cell>
          <cell r="C54" t="str">
            <v>BARRY</v>
          </cell>
          <cell r="D54" t="str">
            <v>hurdat</v>
          </cell>
          <cell r="E54">
            <v>60</v>
          </cell>
          <cell r="F54">
            <v>990</v>
          </cell>
          <cell r="G54" t="str">
            <v>NA</v>
          </cell>
        </row>
        <row r="55">
          <cell r="A55" t="str">
            <v>AL082001</v>
          </cell>
          <cell r="B55">
            <v>2001</v>
          </cell>
          <cell r="C55" t="str">
            <v>GABRIELLE</v>
          </cell>
          <cell r="D55" t="str">
            <v>hurdat</v>
          </cell>
          <cell r="E55">
            <v>60</v>
          </cell>
          <cell r="F55">
            <v>983</v>
          </cell>
          <cell r="G55" t="str">
            <v>NA</v>
          </cell>
        </row>
        <row r="56">
          <cell r="A56" t="str">
            <v>AL092002</v>
          </cell>
          <cell r="B56">
            <v>2002</v>
          </cell>
          <cell r="C56" t="str">
            <v>HANNA</v>
          </cell>
          <cell r="D56" t="str">
            <v>hurdat</v>
          </cell>
          <cell r="E56">
            <v>50</v>
          </cell>
          <cell r="F56">
            <v>1002</v>
          </cell>
          <cell r="G56" t="str">
            <v>NA</v>
          </cell>
        </row>
        <row r="57">
          <cell r="A57" t="str">
            <v>AL102002</v>
          </cell>
          <cell r="B57">
            <v>2002</v>
          </cell>
          <cell r="C57" t="str">
            <v>ISIDORE</v>
          </cell>
          <cell r="D57" t="str">
            <v>hurdat</v>
          </cell>
          <cell r="E57">
            <v>55</v>
          </cell>
          <cell r="F57">
            <v>984</v>
          </cell>
          <cell r="G57" t="str">
            <v>NA</v>
          </cell>
        </row>
        <row r="58">
          <cell r="A58" t="str">
            <v>AL032003</v>
          </cell>
          <cell r="B58">
            <v>2003</v>
          </cell>
          <cell r="C58" t="str">
            <v>BILL</v>
          </cell>
          <cell r="D58" t="str">
            <v>hurdat</v>
          </cell>
          <cell r="E58">
            <v>50</v>
          </cell>
          <cell r="F58">
            <v>997</v>
          </cell>
          <cell r="G58" t="str">
            <v>NA</v>
          </cell>
        </row>
        <row r="59">
          <cell r="A59" t="str">
            <v>AL132003</v>
          </cell>
          <cell r="B59">
            <v>2003</v>
          </cell>
          <cell r="C59" t="str">
            <v>ISABEL</v>
          </cell>
          <cell r="D59" t="str">
            <v>hurdat</v>
          </cell>
          <cell r="E59">
            <v>90</v>
          </cell>
          <cell r="F59">
            <v>957</v>
          </cell>
          <cell r="G59">
            <v>2</v>
          </cell>
        </row>
        <row r="60">
          <cell r="A60" t="str">
            <v>AL032004</v>
          </cell>
          <cell r="B60">
            <v>2004</v>
          </cell>
          <cell r="C60" t="str">
            <v>CHARLEY</v>
          </cell>
          <cell r="D60" t="str">
            <v>hurdat</v>
          </cell>
          <cell r="E60">
            <v>130</v>
          </cell>
          <cell r="F60">
            <v>941</v>
          </cell>
          <cell r="G60">
            <v>4</v>
          </cell>
        </row>
        <row r="61">
          <cell r="A61" t="str">
            <v>AL062004</v>
          </cell>
          <cell r="B61">
            <v>2004</v>
          </cell>
          <cell r="C61" t="str">
            <v>FRANCES</v>
          </cell>
          <cell r="D61" t="str">
            <v>hurdat</v>
          </cell>
          <cell r="E61">
            <v>90</v>
          </cell>
          <cell r="F61">
            <v>960</v>
          </cell>
          <cell r="G61">
            <v>2</v>
          </cell>
        </row>
        <row r="62">
          <cell r="A62" t="str">
            <v>AL072004</v>
          </cell>
          <cell r="B62">
            <v>2004</v>
          </cell>
          <cell r="C62" t="str">
            <v>GASTON</v>
          </cell>
          <cell r="D62" t="str">
            <v>hurdat</v>
          </cell>
          <cell r="E62">
            <v>65</v>
          </cell>
          <cell r="F62">
            <v>985</v>
          </cell>
          <cell r="G62">
            <v>1</v>
          </cell>
        </row>
        <row r="63">
          <cell r="A63" t="str">
            <v>AL092004</v>
          </cell>
          <cell r="B63">
            <v>2004</v>
          </cell>
          <cell r="C63" t="str">
            <v>IVAN</v>
          </cell>
          <cell r="D63" t="str">
            <v>hurdat</v>
          </cell>
          <cell r="E63">
            <v>105</v>
          </cell>
          <cell r="F63">
            <v>946</v>
          </cell>
          <cell r="G63">
            <v>3</v>
          </cell>
        </row>
        <row r="64">
          <cell r="A64" t="str">
            <v>AL112004</v>
          </cell>
          <cell r="B64">
            <v>2004</v>
          </cell>
          <cell r="C64" t="str">
            <v>JEANNE</v>
          </cell>
          <cell r="D64" t="str">
            <v>hurdat</v>
          </cell>
          <cell r="E64">
            <v>105</v>
          </cell>
          <cell r="F64">
            <v>950</v>
          </cell>
          <cell r="G64">
            <v>3</v>
          </cell>
        </row>
        <row r="65">
          <cell r="A65" t="str">
            <v>AL032005</v>
          </cell>
          <cell r="B65">
            <v>2005</v>
          </cell>
          <cell r="C65" t="str">
            <v>CINDY</v>
          </cell>
          <cell r="D65" t="str">
            <v>hurdat</v>
          </cell>
          <cell r="E65">
            <v>65</v>
          </cell>
          <cell r="F65">
            <v>991</v>
          </cell>
          <cell r="G65">
            <v>1</v>
          </cell>
        </row>
        <row r="66">
          <cell r="A66" t="str">
            <v>AL042005</v>
          </cell>
          <cell r="B66">
            <v>2005</v>
          </cell>
          <cell r="C66" t="str">
            <v>DENNIS</v>
          </cell>
          <cell r="D66" t="str">
            <v>hurdat</v>
          </cell>
          <cell r="E66">
            <v>105</v>
          </cell>
          <cell r="F66">
            <v>946</v>
          </cell>
          <cell r="G66">
            <v>3</v>
          </cell>
        </row>
        <row r="67">
          <cell r="A67" t="str">
            <v>AL122005</v>
          </cell>
          <cell r="B67">
            <v>2005</v>
          </cell>
          <cell r="C67" t="str">
            <v>KATRINA</v>
          </cell>
          <cell r="D67" t="str">
            <v>hurdat</v>
          </cell>
          <cell r="E67">
            <v>110</v>
          </cell>
          <cell r="F67">
            <v>920</v>
          </cell>
          <cell r="G67">
            <v>3</v>
          </cell>
        </row>
        <row r="68">
          <cell r="A68" t="str">
            <v>AL182005</v>
          </cell>
          <cell r="B68">
            <v>2005</v>
          </cell>
          <cell r="C68" t="str">
            <v>RITA</v>
          </cell>
          <cell r="D68" t="str">
            <v>hurdat</v>
          </cell>
          <cell r="E68">
            <v>100</v>
          </cell>
          <cell r="F68">
            <v>937</v>
          </cell>
          <cell r="G68">
            <v>3</v>
          </cell>
        </row>
        <row r="69">
          <cell r="A69" t="str">
            <v>AL252005</v>
          </cell>
          <cell r="B69">
            <v>2005</v>
          </cell>
          <cell r="C69" t="str">
            <v>WILMA</v>
          </cell>
          <cell r="D69" t="str">
            <v>hurdat</v>
          </cell>
          <cell r="E69">
            <v>105</v>
          </cell>
          <cell r="F69">
            <v>950</v>
          </cell>
          <cell r="G69">
            <v>3</v>
          </cell>
        </row>
        <row r="70">
          <cell r="A70" t="str">
            <v>AL062006</v>
          </cell>
          <cell r="B70">
            <v>2006</v>
          </cell>
          <cell r="C70" t="str">
            <v>ERNESTO</v>
          </cell>
          <cell r="D70" t="str">
            <v>hurdat</v>
          </cell>
          <cell r="E70">
            <v>60</v>
          </cell>
          <cell r="F70">
            <v>985</v>
          </cell>
          <cell r="G70" t="str">
            <v>NA</v>
          </cell>
        </row>
        <row r="71">
          <cell r="A71" t="str">
            <v>AL092007</v>
          </cell>
          <cell r="B71">
            <v>2007</v>
          </cell>
          <cell r="C71" t="str">
            <v>HUMBERTO</v>
          </cell>
          <cell r="D71" t="str">
            <v>hurdat</v>
          </cell>
          <cell r="E71">
            <v>80</v>
          </cell>
          <cell r="F71">
            <v>985</v>
          </cell>
          <cell r="G71">
            <v>1</v>
          </cell>
        </row>
        <row r="72">
          <cell r="A72" t="str">
            <v>AL042008</v>
          </cell>
          <cell r="B72">
            <v>2008</v>
          </cell>
          <cell r="C72" t="str">
            <v>DOLLY</v>
          </cell>
          <cell r="D72" t="str">
            <v>hurdat</v>
          </cell>
          <cell r="E72">
            <v>75</v>
          </cell>
          <cell r="F72">
            <v>967</v>
          </cell>
          <cell r="G72">
            <v>1</v>
          </cell>
        </row>
        <row r="73">
          <cell r="A73" t="str">
            <v>AL062008</v>
          </cell>
          <cell r="B73">
            <v>2008</v>
          </cell>
          <cell r="C73" t="str">
            <v>FAY</v>
          </cell>
          <cell r="D73" t="str">
            <v>hurdat</v>
          </cell>
          <cell r="E73">
            <v>55</v>
          </cell>
          <cell r="F73">
            <v>991</v>
          </cell>
          <cell r="G73" t="str">
            <v>NA</v>
          </cell>
        </row>
        <row r="74">
          <cell r="A74" t="str">
            <v>AL072008</v>
          </cell>
          <cell r="B74">
            <v>2008</v>
          </cell>
          <cell r="C74" t="str">
            <v>GUSTAV</v>
          </cell>
          <cell r="D74" t="str">
            <v>hurdat</v>
          </cell>
          <cell r="E74">
            <v>90</v>
          </cell>
          <cell r="F74">
            <v>954</v>
          </cell>
          <cell r="G74">
            <v>2</v>
          </cell>
        </row>
        <row r="75">
          <cell r="A75" t="str">
            <v>AL082008</v>
          </cell>
          <cell r="B75">
            <v>2008</v>
          </cell>
          <cell r="C75" t="str">
            <v>HANNA</v>
          </cell>
          <cell r="D75" t="str">
            <v>hurdat</v>
          </cell>
          <cell r="E75">
            <v>60</v>
          </cell>
          <cell r="F75">
            <v>981</v>
          </cell>
          <cell r="G75" t="str">
            <v>NA</v>
          </cell>
        </row>
        <row r="76">
          <cell r="A76" t="str">
            <v>AL092008</v>
          </cell>
          <cell r="B76">
            <v>2008</v>
          </cell>
          <cell r="C76" t="str">
            <v>IKE</v>
          </cell>
          <cell r="D76" t="str">
            <v>hurdat</v>
          </cell>
          <cell r="E76">
            <v>95</v>
          </cell>
          <cell r="F76">
            <v>950</v>
          </cell>
          <cell r="G76">
            <v>2</v>
          </cell>
        </row>
        <row r="77">
          <cell r="A77" t="str">
            <v>AL042009</v>
          </cell>
          <cell r="B77">
            <v>2009</v>
          </cell>
          <cell r="C77" t="str">
            <v>CLAUDETTE</v>
          </cell>
          <cell r="D77" t="str">
            <v>hurdat</v>
          </cell>
          <cell r="E77">
            <v>40</v>
          </cell>
          <cell r="F77">
            <v>1005</v>
          </cell>
          <cell r="G77" t="str">
            <v>NA</v>
          </cell>
        </row>
        <row r="78">
          <cell r="A78" t="str">
            <v>AL032010</v>
          </cell>
          <cell r="B78">
            <v>2010</v>
          </cell>
          <cell r="C78" t="str">
            <v>BONNIE</v>
          </cell>
          <cell r="D78" t="str">
            <v>hurdat</v>
          </cell>
          <cell r="E78">
            <v>35</v>
          </cell>
          <cell r="F78">
            <v>1007</v>
          </cell>
          <cell r="G78" t="str">
            <v>NA</v>
          </cell>
        </row>
        <row r="79">
          <cell r="A79" t="str">
            <v>AL092011</v>
          </cell>
          <cell r="B79">
            <v>2011</v>
          </cell>
          <cell r="C79" t="str">
            <v>IRENE</v>
          </cell>
          <cell r="D79" t="str">
            <v>hurdat</v>
          </cell>
          <cell r="E79">
            <v>75</v>
          </cell>
          <cell r="F79">
            <v>952</v>
          </cell>
          <cell r="G79">
            <v>1</v>
          </cell>
        </row>
        <row r="80">
          <cell r="A80" t="str">
            <v>AL132011</v>
          </cell>
          <cell r="B80">
            <v>2011</v>
          </cell>
          <cell r="C80" t="str">
            <v>LEE</v>
          </cell>
          <cell r="D80" t="str">
            <v>hurdat</v>
          </cell>
          <cell r="E80">
            <v>40</v>
          </cell>
          <cell r="F80">
            <v>986</v>
          </cell>
          <cell r="G80" t="str">
            <v>NA</v>
          </cell>
        </row>
        <row r="81">
          <cell r="A81" t="str">
            <v>AL092012</v>
          </cell>
          <cell r="B81">
            <v>2012</v>
          </cell>
          <cell r="C81" t="str">
            <v>ISAAC</v>
          </cell>
          <cell r="D81" t="str">
            <v>hurdat</v>
          </cell>
          <cell r="E81">
            <v>70</v>
          </cell>
          <cell r="F81">
            <v>966</v>
          </cell>
          <cell r="G81">
            <v>1</v>
          </cell>
        </row>
        <row r="82">
          <cell r="A82" t="str">
            <v>AL182012</v>
          </cell>
          <cell r="B82">
            <v>2012</v>
          </cell>
          <cell r="C82" t="str">
            <v>SANDY</v>
          </cell>
          <cell r="D82" t="str">
            <v>hurdat</v>
          </cell>
          <cell r="E82">
            <v>70</v>
          </cell>
          <cell r="F82">
            <v>945</v>
          </cell>
          <cell r="G82" t="str">
            <v>NA</v>
          </cell>
        </row>
        <row r="83">
          <cell r="A83" t="str">
            <v>AL012013</v>
          </cell>
          <cell r="B83">
            <v>2013</v>
          </cell>
          <cell r="C83" t="str">
            <v>ANDREA</v>
          </cell>
          <cell r="D83" t="str">
            <v>hurdat</v>
          </cell>
          <cell r="E83">
            <v>50</v>
          </cell>
          <cell r="F83">
            <v>992</v>
          </cell>
          <cell r="G83" t="str">
            <v>NA</v>
          </cell>
        </row>
        <row r="84">
          <cell r="A84" t="str">
            <v>AL012014</v>
          </cell>
          <cell r="B84">
            <v>2014</v>
          </cell>
          <cell r="C84" t="str">
            <v>ARTHUR</v>
          </cell>
          <cell r="D84" t="str">
            <v>hurdat</v>
          </cell>
          <cell r="E84">
            <v>85</v>
          </cell>
          <cell r="F84">
            <v>973</v>
          </cell>
          <cell r="G84">
            <v>2</v>
          </cell>
        </row>
        <row r="85">
          <cell r="A85" t="str">
            <v>AL012015</v>
          </cell>
          <cell r="B85">
            <v>2015</v>
          </cell>
          <cell r="C85" t="str">
            <v>ANA</v>
          </cell>
          <cell r="D85" t="str">
            <v>hurdat</v>
          </cell>
          <cell r="E85">
            <v>40</v>
          </cell>
          <cell r="F85">
            <v>1002</v>
          </cell>
          <cell r="G85" t="str">
            <v>NA</v>
          </cell>
        </row>
        <row r="86">
          <cell r="A86" t="str">
            <v>AL022015</v>
          </cell>
          <cell r="B86">
            <v>2015</v>
          </cell>
          <cell r="C86" t="str">
            <v>BILL</v>
          </cell>
          <cell r="D86" t="str">
            <v>hurdat</v>
          </cell>
          <cell r="E86">
            <v>50</v>
          </cell>
          <cell r="F86">
            <v>997</v>
          </cell>
          <cell r="G86" t="str">
            <v>NA</v>
          </cell>
        </row>
        <row r="87">
          <cell r="A87" t="str">
            <v>AL092016</v>
          </cell>
          <cell r="B87">
            <v>2016</v>
          </cell>
          <cell r="C87" t="str">
            <v>HERMINE</v>
          </cell>
          <cell r="D87" t="str">
            <v>hurdat</v>
          </cell>
          <cell r="E87">
            <v>70</v>
          </cell>
          <cell r="F87">
            <v>981</v>
          </cell>
          <cell r="G87">
            <v>1</v>
          </cell>
        </row>
        <row r="88">
          <cell r="A88" t="str">
            <v>AL142016</v>
          </cell>
          <cell r="B88">
            <v>2016</v>
          </cell>
          <cell r="C88" t="str">
            <v>MATTHEW</v>
          </cell>
          <cell r="D88" t="str">
            <v>hurdat</v>
          </cell>
          <cell r="E88">
            <v>75</v>
          </cell>
          <cell r="F88">
            <v>967</v>
          </cell>
          <cell r="G88">
            <v>1</v>
          </cell>
        </row>
        <row r="89">
          <cell r="A89" t="str">
            <v>AL092017</v>
          </cell>
          <cell r="B89">
            <v>2017</v>
          </cell>
          <cell r="C89" t="str">
            <v>HARVEY</v>
          </cell>
          <cell r="D89" t="str">
            <v>hurdat</v>
          </cell>
          <cell r="E89">
            <v>115</v>
          </cell>
          <cell r="F89">
            <v>937</v>
          </cell>
          <cell r="G89">
            <v>4</v>
          </cell>
        </row>
        <row r="90">
          <cell r="A90" t="str">
            <v>AL112017</v>
          </cell>
          <cell r="B90">
            <v>2017</v>
          </cell>
          <cell r="C90" t="str">
            <v>IRMA</v>
          </cell>
          <cell r="D90" t="str">
            <v>hurdat</v>
          </cell>
          <cell r="E90">
            <v>115</v>
          </cell>
          <cell r="F90">
            <v>931</v>
          </cell>
          <cell r="G90">
            <v>4</v>
          </cell>
        </row>
        <row r="91">
          <cell r="A91" t="str">
            <v>AL162017</v>
          </cell>
          <cell r="B91">
            <v>2017</v>
          </cell>
          <cell r="C91" t="str">
            <v>NATE</v>
          </cell>
          <cell r="D91" t="str">
            <v>hurdat</v>
          </cell>
          <cell r="E91">
            <v>75</v>
          </cell>
          <cell r="F91">
            <v>983</v>
          </cell>
          <cell r="G91">
            <v>1</v>
          </cell>
        </row>
        <row r="92">
          <cell r="A92" t="str">
            <v>AL062018</v>
          </cell>
          <cell r="B92">
            <v>2018</v>
          </cell>
          <cell r="C92" t="str">
            <v>FLORENCE</v>
          </cell>
          <cell r="D92" t="str">
            <v>hurdat</v>
          </cell>
          <cell r="E92">
            <v>80</v>
          </cell>
          <cell r="F92">
            <v>956</v>
          </cell>
          <cell r="G92">
            <v>1</v>
          </cell>
        </row>
        <row r="93">
          <cell r="A93" t="str">
            <v>AL142018</v>
          </cell>
          <cell r="B93">
            <v>2018</v>
          </cell>
          <cell r="C93" t="str">
            <v>MICHAEL</v>
          </cell>
          <cell r="D93" t="str">
            <v>hurdat</v>
          </cell>
          <cell r="E93">
            <v>140</v>
          </cell>
          <cell r="F93">
            <v>919</v>
          </cell>
          <cell r="G93">
            <v>5</v>
          </cell>
        </row>
        <row r="94">
          <cell r="A94" t="str">
            <v>AL022019</v>
          </cell>
          <cell r="B94">
            <v>2019</v>
          </cell>
          <cell r="C94" t="str">
            <v>BARRY</v>
          </cell>
          <cell r="D94" t="str">
            <v>hurdat</v>
          </cell>
          <cell r="E94">
            <v>65</v>
          </cell>
          <cell r="F94">
            <v>993</v>
          </cell>
          <cell r="G94">
            <v>1</v>
          </cell>
        </row>
        <row r="95">
          <cell r="A95" t="str">
            <v>AL052019</v>
          </cell>
          <cell r="B95">
            <v>2019</v>
          </cell>
          <cell r="C95" t="str">
            <v>DORIAN</v>
          </cell>
          <cell r="D95" t="str">
            <v>hurdat</v>
          </cell>
          <cell r="E95">
            <v>85</v>
          </cell>
          <cell r="F95">
            <v>956</v>
          </cell>
          <cell r="G95">
            <v>2</v>
          </cell>
        </row>
        <row r="96">
          <cell r="A96" t="str">
            <v>AL112019</v>
          </cell>
          <cell r="B96">
            <v>2019</v>
          </cell>
          <cell r="C96" t="str">
            <v>IMELDA</v>
          </cell>
          <cell r="D96" t="str">
            <v>hurdat</v>
          </cell>
          <cell r="E96">
            <v>40</v>
          </cell>
          <cell r="F96">
            <v>1003</v>
          </cell>
          <cell r="G96" t="str">
            <v>NA</v>
          </cell>
        </row>
        <row r="97">
          <cell r="A97" t="str">
            <v>AL262020</v>
          </cell>
          <cell r="B97">
            <v>2020</v>
          </cell>
          <cell r="C97" t="str">
            <v>DELTA</v>
          </cell>
          <cell r="D97" t="str">
            <v>hurdat</v>
          </cell>
          <cell r="E97">
            <v>85</v>
          </cell>
          <cell r="F97">
            <v>970</v>
          </cell>
          <cell r="G97">
            <v>2</v>
          </cell>
        </row>
        <row r="98">
          <cell r="A98" t="str">
            <v>AL292020</v>
          </cell>
          <cell r="B98">
            <v>2020</v>
          </cell>
          <cell r="C98" t="str">
            <v>ETA</v>
          </cell>
          <cell r="D98" t="str">
            <v>hurdat</v>
          </cell>
          <cell r="E98">
            <v>55</v>
          </cell>
          <cell r="F98">
            <v>993</v>
          </cell>
          <cell r="G98" t="str">
            <v>NA</v>
          </cell>
        </row>
        <row r="99">
          <cell r="A99" t="str">
            <v>AL082020</v>
          </cell>
          <cell r="B99">
            <v>2020</v>
          </cell>
          <cell r="C99" t="str">
            <v>HANNA</v>
          </cell>
          <cell r="D99" t="str">
            <v>hurdat</v>
          </cell>
          <cell r="E99">
            <v>80</v>
          </cell>
          <cell r="F99">
            <v>973</v>
          </cell>
          <cell r="G99">
            <v>1</v>
          </cell>
        </row>
        <row r="100">
          <cell r="A100" t="str">
            <v>AL092020</v>
          </cell>
          <cell r="B100">
            <v>2020</v>
          </cell>
          <cell r="C100" t="str">
            <v>ISAIAS</v>
          </cell>
          <cell r="D100" t="str">
            <v>hurdat</v>
          </cell>
          <cell r="E100">
            <v>80</v>
          </cell>
          <cell r="F100">
            <v>986</v>
          </cell>
          <cell r="G100">
            <v>1</v>
          </cell>
        </row>
        <row r="101">
          <cell r="A101" t="str">
            <v>AL132020</v>
          </cell>
          <cell r="B101">
            <v>2020</v>
          </cell>
          <cell r="C101" t="str">
            <v>LAURA</v>
          </cell>
          <cell r="D101" t="str">
            <v>hurdat</v>
          </cell>
          <cell r="E101">
            <v>130</v>
          </cell>
          <cell r="F101">
            <v>939</v>
          </cell>
          <cell r="G101">
            <v>4</v>
          </cell>
        </row>
        <row r="102">
          <cell r="A102" t="str">
            <v>AL192020</v>
          </cell>
          <cell r="B102">
            <v>2020</v>
          </cell>
          <cell r="C102" t="str">
            <v>SALLY</v>
          </cell>
          <cell r="D102" t="str">
            <v>hurdat</v>
          </cell>
          <cell r="E102">
            <v>95</v>
          </cell>
          <cell r="F102">
            <v>965</v>
          </cell>
          <cell r="G102">
            <v>2</v>
          </cell>
        </row>
        <row r="103">
          <cell r="A103" t="str">
            <v>AL282020</v>
          </cell>
          <cell r="B103">
            <v>2020</v>
          </cell>
          <cell r="C103" t="str">
            <v>ZETA</v>
          </cell>
          <cell r="D103" t="str">
            <v>hurdat</v>
          </cell>
          <cell r="E103">
            <v>100</v>
          </cell>
          <cell r="F103">
            <v>970</v>
          </cell>
          <cell r="G103">
            <v>3</v>
          </cell>
        </row>
        <row r="104">
          <cell r="A104" t="str">
            <v>AL052021</v>
          </cell>
          <cell r="B104">
            <v>2021</v>
          </cell>
          <cell r="C104" t="str">
            <v>ELSA</v>
          </cell>
          <cell r="D104" t="str">
            <v>hurdat</v>
          </cell>
          <cell r="E104">
            <v>55</v>
          </cell>
          <cell r="F104">
            <v>999</v>
          </cell>
          <cell r="G104" t="str">
            <v>NA</v>
          </cell>
        </row>
        <row r="105">
          <cell r="A105" t="str">
            <v>AL062021</v>
          </cell>
          <cell r="B105">
            <v>2021</v>
          </cell>
          <cell r="C105" t="str">
            <v>FRED</v>
          </cell>
          <cell r="D105" t="str">
            <v>hurdat</v>
          </cell>
          <cell r="E105">
            <v>55</v>
          </cell>
          <cell r="F105">
            <v>991</v>
          </cell>
          <cell r="G105" t="str">
            <v>NA</v>
          </cell>
        </row>
        <row r="106">
          <cell r="A106" t="str">
            <v>AL092021</v>
          </cell>
          <cell r="B106">
            <v>2021</v>
          </cell>
          <cell r="C106" t="str">
            <v>IDA</v>
          </cell>
          <cell r="D106" t="str">
            <v>hurdat</v>
          </cell>
          <cell r="E106">
            <v>130</v>
          </cell>
          <cell r="F106">
            <v>931</v>
          </cell>
          <cell r="G106">
            <v>4</v>
          </cell>
        </row>
        <row r="107">
          <cell r="A107" t="str">
            <v>AL142021</v>
          </cell>
          <cell r="B107">
            <v>2021</v>
          </cell>
          <cell r="C107" t="str">
            <v>NICHOLAS</v>
          </cell>
          <cell r="D107" t="str">
            <v>hurdat</v>
          </cell>
          <cell r="E107">
            <v>65</v>
          </cell>
          <cell r="F107">
            <v>991</v>
          </cell>
          <cell r="G107">
            <v>1</v>
          </cell>
        </row>
        <row r="108">
          <cell r="A108" t="str">
            <v>AL092022</v>
          </cell>
          <cell r="B108">
            <v>2022</v>
          </cell>
          <cell r="C108" t="str">
            <v>IAN</v>
          </cell>
          <cell r="D108" t="str">
            <v>hurdat</v>
          </cell>
          <cell r="E108">
            <v>130</v>
          </cell>
          <cell r="F108">
            <v>941</v>
          </cell>
          <cell r="G108">
            <v>4</v>
          </cell>
        </row>
        <row r="109">
          <cell r="A109" t="str">
            <v>AL172022</v>
          </cell>
          <cell r="B109">
            <v>2022</v>
          </cell>
          <cell r="C109" t="str">
            <v>NICOLE</v>
          </cell>
          <cell r="D109" t="str">
            <v>hurdat</v>
          </cell>
          <cell r="E109">
            <v>65</v>
          </cell>
          <cell r="F109">
            <v>980</v>
          </cell>
          <cell r="G109">
            <v>1</v>
          </cell>
        </row>
        <row r="110">
          <cell r="A110" t="str">
            <v>AL102023</v>
          </cell>
          <cell r="B110">
            <v>2023</v>
          </cell>
          <cell r="C110" t="str">
            <v>IDALIA</v>
          </cell>
          <cell r="D110" t="str">
            <v>hurdat</v>
          </cell>
          <cell r="E110">
            <v>100</v>
          </cell>
          <cell r="F110">
            <v>950</v>
          </cell>
          <cell r="G110">
            <v>3</v>
          </cell>
        </row>
        <row r="111">
          <cell r="A111" t="str">
            <v>AL162023</v>
          </cell>
          <cell r="B111">
            <v>2023</v>
          </cell>
          <cell r="C111" t="str">
            <v>OPHELIA</v>
          </cell>
          <cell r="D111" t="str">
            <v>hurdat</v>
          </cell>
          <cell r="E111">
            <v>60</v>
          </cell>
          <cell r="F111">
            <v>981</v>
          </cell>
          <cell r="G111" t="str">
            <v>NA</v>
          </cell>
        </row>
        <row r="112">
          <cell r="A112" t="str">
            <v>AL011964</v>
          </cell>
          <cell r="B112">
            <v>1964</v>
          </cell>
          <cell r="C112" t="str">
            <v>STORM 1</v>
          </cell>
          <cell r="D112" t="str">
            <v>walked</v>
          </cell>
          <cell r="E112">
            <v>25</v>
          </cell>
          <cell r="F112" t="str">
            <v>NA</v>
          </cell>
          <cell r="G112" t="str">
            <v>NA</v>
          </cell>
        </row>
        <row r="113">
          <cell r="A113" t="str">
            <v>AL131966</v>
          </cell>
          <cell r="B113">
            <v>1966</v>
          </cell>
          <cell r="C113" t="str">
            <v>STORM 13</v>
          </cell>
          <cell r="D113" t="str">
            <v>walked</v>
          </cell>
          <cell r="E113">
            <v>25</v>
          </cell>
          <cell r="F113" t="str">
            <v>NA</v>
          </cell>
          <cell r="G113" t="str">
            <v>NA</v>
          </cell>
        </row>
        <row r="114">
          <cell r="A114" t="str">
            <v>AL021968</v>
          </cell>
          <cell r="B114">
            <v>1968</v>
          </cell>
          <cell r="C114" t="str">
            <v>BRENDA</v>
          </cell>
          <cell r="D114" t="str">
            <v>walked</v>
          </cell>
          <cell r="E114">
            <v>25</v>
          </cell>
          <cell r="F114" t="str">
            <v>NA</v>
          </cell>
          <cell r="G114" t="str">
            <v>NA</v>
          </cell>
        </row>
        <row r="115">
          <cell r="A115" t="str">
            <v>AL051968</v>
          </cell>
          <cell r="B115">
            <v>1968</v>
          </cell>
          <cell r="C115" t="str">
            <v>DOLLY</v>
          </cell>
          <cell r="D115" t="str">
            <v>walked</v>
          </cell>
          <cell r="E115">
            <v>30</v>
          </cell>
          <cell r="F115" t="str">
            <v>NA</v>
          </cell>
          <cell r="G115" t="str">
            <v>NA</v>
          </cell>
        </row>
        <row r="116">
          <cell r="A116" t="str">
            <v>AL131968</v>
          </cell>
          <cell r="B116">
            <v>1968</v>
          </cell>
          <cell r="C116" t="str">
            <v>STORM 13</v>
          </cell>
          <cell r="D116" t="str">
            <v>walked</v>
          </cell>
          <cell r="E116">
            <v>30</v>
          </cell>
          <cell r="F116">
            <v>1004</v>
          </cell>
          <cell r="G116" t="str">
            <v>NA</v>
          </cell>
        </row>
        <row r="117">
          <cell r="A117" t="str">
            <v>AL061968</v>
          </cell>
          <cell r="B117">
            <v>1968</v>
          </cell>
          <cell r="C117" t="str">
            <v>STORM 6</v>
          </cell>
          <cell r="D117" t="str">
            <v>walked</v>
          </cell>
          <cell r="E117">
            <v>25</v>
          </cell>
          <cell r="F117" t="str">
            <v>NA</v>
          </cell>
          <cell r="G117" t="str">
            <v>NA</v>
          </cell>
        </row>
        <row r="118">
          <cell r="A118" t="str">
            <v>AL191969</v>
          </cell>
          <cell r="B118">
            <v>1969</v>
          </cell>
          <cell r="C118" t="str">
            <v>STORM 19</v>
          </cell>
          <cell r="D118" t="str">
            <v>walked</v>
          </cell>
          <cell r="E118">
            <v>30</v>
          </cell>
          <cell r="F118" t="str">
            <v>NA</v>
          </cell>
          <cell r="G118" t="str">
            <v>NA</v>
          </cell>
        </row>
        <row r="119">
          <cell r="A119" t="str">
            <v>AL011970</v>
          </cell>
          <cell r="B119">
            <v>1970</v>
          </cell>
          <cell r="C119" t="str">
            <v>ALMA</v>
          </cell>
          <cell r="D119" t="str">
            <v>walked</v>
          </cell>
          <cell r="E119">
            <v>30</v>
          </cell>
          <cell r="F119" t="str">
            <v>NA</v>
          </cell>
          <cell r="G119" t="str">
            <v>NA</v>
          </cell>
        </row>
        <row r="120">
          <cell r="A120" t="str">
            <v>AL161970</v>
          </cell>
          <cell r="B120">
            <v>1970</v>
          </cell>
          <cell r="C120" t="str">
            <v>GRETA</v>
          </cell>
          <cell r="D120" t="str">
            <v>walked</v>
          </cell>
          <cell r="E120">
            <v>35</v>
          </cell>
          <cell r="F120">
            <v>1007</v>
          </cell>
          <cell r="G120" t="str">
            <v>NA</v>
          </cell>
        </row>
        <row r="121">
          <cell r="A121" t="str">
            <v>AL201970</v>
          </cell>
          <cell r="B121">
            <v>1970</v>
          </cell>
          <cell r="C121" t="str">
            <v>STORM 20</v>
          </cell>
          <cell r="D121" t="str">
            <v>walked</v>
          </cell>
          <cell r="E121">
            <v>30</v>
          </cell>
          <cell r="F121" t="str">
            <v>NA</v>
          </cell>
          <cell r="G121" t="str">
            <v>NA</v>
          </cell>
        </row>
        <row r="122">
          <cell r="A122" t="str">
            <v>AL091971</v>
          </cell>
          <cell r="B122">
            <v>1971</v>
          </cell>
          <cell r="C122" t="str">
            <v>DORIA</v>
          </cell>
          <cell r="D122" t="str">
            <v>walked</v>
          </cell>
          <cell r="E122">
            <v>50</v>
          </cell>
          <cell r="F122">
            <v>998</v>
          </cell>
          <cell r="G122" t="str">
            <v>NA</v>
          </cell>
        </row>
        <row r="123">
          <cell r="A123" t="str">
            <v>AL131971</v>
          </cell>
          <cell r="B123">
            <v>1971</v>
          </cell>
          <cell r="C123" t="str">
            <v>EDITH</v>
          </cell>
          <cell r="D123" t="str">
            <v>walked</v>
          </cell>
          <cell r="E123">
            <v>85</v>
          </cell>
          <cell r="F123">
            <v>978</v>
          </cell>
          <cell r="G123">
            <v>2</v>
          </cell>
        </row>
        <row r="124">
          <cell r="A124" t="str">
            <v>AL111971</v>
          </cell>
          <cell r="B124">
            <v>1971</v>
          </cell>
          <cell r="C124" t="str">
            <v>FERN</v>
          </cell>
          <cell r="D124" t="str">
            <v>walked</v>
          </cell>
          <cell r="E124">
            <v>60</v>
          </cell>
          <cell r="F124">
            <v>979</v>
          </cell>
          <cell r="G124" t="str">
            <v>NA</v>
          </cell>
        </row>
        <row r="125">
          <cell r="A125" t="str">
            <v>AL141971</v>
          </cell>
          <cell r="B125">
            <v>1971</v>
          </cell>
          <cell r="C125" t="str">
            <v>GINGER</v>
          </cell>
          <cell r="D125" t="str">
            <v>walked</v>
          </cell>
          <cell r="E125">
            <v>65</v>
          </cell>
          <cell r="F125">
            <v>984</v>
          </cell>
          <cell r="G125">
            <v>1</v>
          </cell>
        </row>
        <row r="126">
          <cell r="A126" t="str">
            <v>AL171971</v>
          </cell>
          <cell r="B126">
            <v>1971</v>
          </cell>
          <cell r="C126" t="str">
            <v>HEIDI</v>
          </cell>
          <cell r="D126" t="str">
            <v>walked</v>
          </cell>
          <cell r="E126">
            <v>40</v>
          </cell>
          <cell r="F126">
            <v>998</v>
          </cell>
          <cell r="G126" t="str">
            <v>NA</v>
          </cell>
        </row>
        <row r="127">
          <cell r="A127" t="str">
            <v>AL101971</v>
          </cell>
          <cell r="B127">
            <v>1971</v>
          </cell>
          <cell r="C127" t="str">
            <v>STORM 10</v>
          </cell>
          <cell r="D127" t="str">
            <v>walked</v>
          </cell>
          <cell r="E127">
            <v>25</v>
          </cell>
          <cell r="F127" t="str">
            <v>NA</v>
          </cell>
          <cell r="G127" t="str">
            <v>NA</v>
          </cell>
        </row>
        <row r="128">
          <cell r="A128" t="str">
            <v>AL151971</v>
          </cell>
          <cell r="B128">
            <v>1971</v>
          </cell>
          <cell r="C128" t="str">
            <v>STORM 15</v>
          </cell>
          <cell r="D128" t="str">
            <v>walked</v>
          </cell>
          <cell r="E128">
            <v>20</v>
          </cell>
          <cell r="F128" t="str">
            <v>NA</v>
          </cell>
          <cell r="G128" t="str">
            <v>NA</v>
          </cell>
        </row>
        <row r="129">
          <cell r="A129" t="str">
            <v>AL021971</v>
          </cell>
          <cell r="B129">
            <v>1971</v>
          </cell>
          <cell r="C129" t="str">
            <v>STORM 2</v>
          </cell>
          <cell r="D129" t="str">
            <v>walked</v>
          </cell>
          <cell r="E129">
            <v>25</v>
          </cell>
          <cell r="F129" t="str">
            <v>NA</v>
          </cell>
          <cell r="G129" t="str">
            <v>NA</v>
          </cell>
        </row>
        <row r="130">
          <cell r="A130" t="str">
            <v>AL201971</v>
          </cell>
          <cell r="B130">
            <v>1971</v>
          </cell>
          <cell r="C130" t="str">
            <v>STORM 20</v>
          </cell>
          <cell r="D130" t="str">
            <v>walked</v>
          </cell>
          <cell r="E130">
            <v>25</v>
          </cell>
          <cell r="F130" t="str">
            <v>NA</v>
          </cell>
          <cell r="G130" t="str">
            <v>NA</v>
          </cell>
        </row>
        <row r="131">
          <cell r="A131" t="str">
            <v>AL031971</v>
          </cell>
          <cell r="B131">
            <v>1971</v>
          </cell>
          <cell r="C131" t="str">
            <v>STORM 3</v>
          </cell>
          <cell r="D131" t="str">
            <v>walked</v>
          </cell>
          <cell r="E131">
            <v>20</v>
          </cell>
          <cell r="F131" t="str">
            <v>NA</v>
          </cell>
          <cell r="G131" t="str">
            <v>NA</v>
          </cell>
        </row>
        <row r="132">
          <cell r="A132" t="str">
            <v>AL051971</v>
          </cell>
          <cell r="B132">
            <v>1971</v>
          </cell>
          <cell r="C132" t="str">
            <v>STORM 5</v>
          </cell>
          <cell r="D132" t="str">
            <v>walked</v>
          </cell>
          <cell r="E132">
            <v>25</v>
          </cell>
          <cell r="F132" t="str">
            <v>NA</v>
          </cell>
          <cell r="G132" t="str">
            <v>NA</v>
          </cell>
        </row>
        <row r="133">
          <cell r="A133" t="str">
            <v>AL071971</v>
          </cell>
          <cell r="B133">
            <v>1971</v>
          </cell>
          <cell r="C133" t="str">
            <v>STORM 7</v>
          </cell>
          <cell r="D133" t="str">
            <v>walked</v>
          </cell>
          <cell r="E133">
            <v>25</v>
          </cell>
          <cell r="F133" t="str">
            <v>NA</v>
          </cell>
          <cell r="G133" t="str">
            <v>NA</v>
          </cell>
        </row>
        <row r="134">
          <cell r="A134" t="str">
            <v>AL021972</v>
          </cell>
          <cell r="B134">
            <v>1972</v>
          </cell>
          <cell r="C134" t="str">
            <v>AGNES</v>
          </cell>
          <cell r="D134" t="str">
            <v>walked</v>
          </cell>
          <cell r="E134">
            <v>65</v>
          </cell>
          <cell r="F134">
            <v>980</v>
          </cell>
          <cell r="G134">
            <v>1</v>
          </cell>
        </row>
        <row r="135">
          <cell r="A135" t="str">
            <v>AL011972</v>
          </cell>
          <cell r="B135">
            <v>1972</v>
          </cell>
          <cell r="C135" t="str">
            <v>ALPHA</v>
          </cell>
          <cell r="D135" t="str">
            <v>walked</v>
          </cell>
          <cell r="E135">
            <v>50</v>
          </cell>
          <cell r="F135">
            <v>991</v>
          </cell>
          <cell r="G135" t="str">
            <v>NA</v>
          </cell>
        </row>
        <row r="136">
          <cell r="A136" t="str">
            <v>AL111972</v>
          </cell>
          <cell r="B136">
            <v>1972</v>
          </cell>
          <cell r="C136" t="str">
            <v>CARRIE</v>
          </cell>
          <cell r="D136" t="str">
            <v>walked</v>
          </cell>
          <cell r="E136">
            <v>50</v>
          </cell>
          <cell r="F136" t="str">
            <v>NA</v>
          </cell>
          <cell r="G136" t="str">
            <v>NA</v>
          </cell>
        </row>
        <row r="137">
          <cell r="A137" t="str">
            <v>AL131972</v>
          </cell>
          <cell r="B137">
            <v>1972</v>
          </cell>
          <cell r="C137" t="str">
            <v>DAWN</v>
          </cell>
          <cell r="D137" t="str">
            <v>walked</v>
          </cell>
          <cell r="E137">
            <v>30</v>
          </cell>
          <cell r="F137" t="str">
            <v>NA</v>
          </cell>
          <cell r="G137" t="str">
            <v>NA</v>
          </cell>
        </row>
        <row r="138">
          <cell r="A138" t="str">
            <v>AL041972</v>
          </cell>
          <cell r="B138">
            <v>1972</v>
          </cell>
          <cell r="C138" t="str">
            <v>STORM 4</v>
          </cell>
          <cell r="D138" t="str">
            <v>walked</v>
          </cell>
          <cell r="E138">
            <v>25</v>
          </cell>
          <cell r="F138" t="str">
            <v>NA</v>
          </cell>
          <cell r="G138" t="str">
            <v>NA</v>
          </cell>
        </row>
        <row r="139">
          <cell r="A139" t="str">
            <v>AL101973</v>
          </cell>
          <cell r="B139">
            <v>1973</v>
          </cell>
          <cell r="C139" t="str">
            <v>DELIA</v>
          </cell>
          <cell r="D139" t="str">
            <v>walked</v>
          </cell>
          <cell r="E139">
            <v>55</v>
          </cell>
          <cell r="F139" t="str">
            <v>NA</v>
          </cell>
          <cell r="G139" t="str">
            <v>NA</v>
          </cell>
        </row>
        <row r="140">
          <cell r="A140" t="str">
            <v>AL111973</v>
          </cell>
          <cell r="B140">
            <v>1973</v>
          </cell>
          <cell r="C140" t="str">
            <v>STORM 11</v>
          </cell>
          <cell r="D140" t="str">
            <v>walked</v>
          </cell>
          <cell r="E140">
            <v>30</v>
          </cell>
          <cell r="F140" t="str">
            <v>NA</v>
          </cell>
          <cell r="G140" t="str">
            <v>NA</v>
          </cell>
        </row>
        <row r="141">
          <cell r="A141" t="str">
            <v>AL131973</v>
          </cell>
          <cell r="B141">
            <v>1973</v>
          </cell>
          <cell r="C141" t="str">
            <v>STORM 13</v>
          </cell>
          <cell r="D141" t="str">
            <v>walked</v>
          </cell>
          <cell r="E141">
            <v>25</v>
          </cell>
          <cell r="F141" t="str">
            <v>NA</v>
          </cell>
          <cell r="G141" t="str">
            <v>NA</v>
          </cell>
        </row>
        <row r="142">
          <cell r="A142" t="str">
            <v>AL101974</v>
          </cell>
          <cell r="B142">
            <v>1974</v>
          </cell>
          <cell r="C142" t="str">
            <v>CARMEN</v>
          </cell>
          <cell r="D142" t="str">
            <v>walked</v>
          </cell>
          <cell r="E142">
            <v>130</v>
          </cell>
          <cell r="F142">
            <v>937</v>
          </cell>
          <cell r="G142">
            <v>4</v>
          </cell>
        </row>
        <row r="143">
          <cell r="A143" t="str">
            <v>AL161974</v>
          </cell>
          <cell r="B143">
            <v>1974</v>
          </cell>
          <cell r="C143" t="str">
            <v>STORM 16</v>
          </cell>
          <cell r="D143" t="str">
            <v>walked</v>
          </cell>
          <cell r="E143">
            <v>25</v>
          </cell>
          <cell r="F143" t="str">
            <v>NA</v>
          </cell>
          <cell r="G143" t="str">
            <v>NA</v>
          </cell>
        </row>
        <row r="144">
          <cell r="A144" t="str">
            <v>AL021974</v>
          </cell>
          <cell r="B144">
            <v>1974</v>
          </cell>
          <cell r="C144" t="str">
            <v>STORM 2</v>
          </cell>
          <cell r="D144" t="str">
            <v>walked</v>
          </cell>
          <cell r="E144">
            <v>45</v>
          </cell>
          <cell r="F144" t="str">
            <v>NA</v>
          </cell>
          <cell r="G144" t="str">
            <v>NA</v>
          </cell>
        </row>
        <row r="145">
          <cell r="A145" t="str">
            <v>AL041974</v>
          </cell>
          <cell r="B145">
            <v>1974</v>
          </cell>
          <cell r="C145" t="str">
            <v>STORM 4</v>
          </cell>
          <cell r="D145" t="str">
            <v>walked</v>
          </cell>
          <cell r="E145">
            <v>25</v>
          </cell>
          <cell r="F145" t="str">
            <v>NA</v>
          </cell>
          <cell r="G145" t="str">
            <v>NA</v>
          </cell>
        </row>
        <row r="146">
          <cell r="A146" t="str">
            <v>AL081974</v>
          </cell>
          <cell r="B146">
            <v>1974</v>
          </cell>
          <cell r="C146" t="str">
            <v>STORM 8</v>
          </cell>
          <cell r="D146" t="str">
            <v>walked</v>
          </cell>
          <cell r="E146">
            <v>25</v>
          </cell>
          <cell r="F146" t="str">
            <v>NA</v>
          </cell>
          <cell r="G146" t="str">
            <v>NA</v>
          </cell>
        </row>
        <row r="147">
          <cell r="A147" t="str">
            <v>AL131975</v>
          </cell>
          <cell r="B147">
            <v>1975</v>
          </cell>
          <cell r="C147" t="str">
            <v>ELOISE</v>
          </cell>
          <cell r="D147" t="str">
            <v>walked</v>
          </cell>
          <cell r="E147">
            <v>110</v>
          </cell>
          <cell r="F147">
            <v>955</v>
          </cell>
          <cell r="G147">
            <v>3</v>
          </cell>
        </row>
        <row r="148">
          <cell r="A148" t="str">
            <v>AL181975</v>
          </cell>
          <cell r="B148">
            <v>1975</v>
          </cell>
          <cell r="C148" t="str">
            <v>STORM 18</v>
          </cell>
          <cell r="D148" t="str">
            <v>walked</v>
          </cell>
          <cell r="E148">
            <v>25</v>
          </cell>
          <cell r="F148" t="str">
            <v>NA</v>
          </cell>
          <cell r="G148" t="str">
            <v>NA</v>
          </cell>
        </row>
        <row r="149">
          <cell r="A149" t="str">
            <v>AL061975</v>
          </cell>
          <cell r="B149">
            <v>1975</v>
          </cell>
          <cell r="C149" t="str">
            <v>STORM 6</v>
          </cell>
          <cell r="D149" t="str">
            <v>walked</v>
          </cell>
          <cell r="E149">
            <v>30</v>
          </cell>
          <cell r="F149" t="str">
            <v>NA</v>
          </cell>
          <cell r="G149" t="str">
            <v>NA</v>
          </cell>
        </row>
        <row r="150">
          <cell r="A150" t="str">
            <v>AL071976</v>
          </cell>
          <cell r="B150">
            <v>1976</v>
          </cell>
          <cell r="C150" t="str">
            <v>BELLE</v>
          </cell>
          <cell r="D150" t="str">
            <v>walked</v>
          </cell>
          <cell r="E150">
            <v>80</v>
          </cell>
          <cell r="F150">
            <v>977</v>
          </cell>
          <cell r="G150">
            <v>1</v>
          </cell>
        </row>
        <row r="151">
          <cell r="A151" t="str">
            <v>AL081976</v>
          </cell>
          <cell r="B151">
            <v>1976</v>
          </cell>
          <cell r="C151" t="str">
            <v>DOTTIE</v>
          </cell>
          <cell r="D151" t="str">
            <v>walked</v>
          </cell>
          <cell r="E151">
            <v>35</v>
          </cell>
          <cell r="F151">
            <v>1005</v>
          </cell>
          <cell r="G151" t="str">
            <v>NA</v>
          </cell>
        </row>
        <row r="152">
          <cell r="A152" t="str">
            <v>AL011976</v>
          </cell>
          <cell r="B152">
            <v>1976</v>
          </cell>
          <cell r="C152" t="str">
            <v>STORM 1</v>
          </cell>
          <cell r="D152" t="str">
            <v>walked</v>
          </cell>
          <cell r="E152">
            <v>40</v>
          </cell>
          <cell r="F152">
            <v>998</v>
          </cell>
          <cell r="G152" t="str">
            <v>NA</v>
          </cell>
        </row>
        <row r="153">
          <cell r="A153" t="str">
            <v>AL141976</v>
          </cell>
          <cell r="B153">
            <v>1976</v>
          </cell>
          <cell r="C153" t="str">
            <v>STORM 14</v>
          </cell>
          <cell r="D153" t="str">
            <v>walked</v>
          </cell>
          <cell r="E153">
            <v>35</v>
          </cell>
          <cell r="F153">
            <v>1012</v>
          </cell>
          <cell r="G153" t="str">
            <v>NA</v>
          </cell>
        </row>
        <row r="154">
          <cell r="A154" t="str">
            <v>AL161976</v>
          </cell>
          <cell r="B154">
            <v>1976</v>
          </cell>
          <cell r="C154" t="str">
            <v>STORM 16</v>
          </cell>
          <cell r="D154" t="str">
            <v>walked</v>
          </cell>
          <cell r="E154">
            <v>25</v>
          </cell>
          <cell r="F154" t="str">
            <v>NA</v>
          </cell>
          <cell r="G154" t="str">
            <v>NA</v>
          </cell>
        </row>
        <row r="155">
          <cell r="A155" t="str">
            <v>AL061977</v>
          </cell>
          <cell r="B155">
            <v>1977</v>
          </cell>
          <cell r="C155" t="str">
            <v>BABE</v>
          </cell>
          <cell r="D155" t="str">
            <v>walked</v>
          </cell>
          <cell r="E155">
            <v>65</v>
          </cell>
          <cell r="F155">
            <v>995</v>
          </cell>
          <cell r="G155">
            <v>1</v>
          </cell>
        </row>
        <row r="156">
          <cell r="A156" t="str">
            <v>AL011977</v>
          </cell>
          <cell r="B156">
            <v>1977</v>
          </cell>
          <cell r="C156" t="str">
            <v>STORM 1</v>
          </cell>
          <cell r="D156" t="str">
            <v>walked</v>
          </cell>
          <cell r="E156">
            <v>25</v>
          </cell>
          <cell r="F156" t="str">
            <v>NA</v>
          </cell>
          <cell r="G156" t="str">
            <v>NA</v>
          </cell>
        </row>
        <row r="157">
          <cell r="A157" t="str">
            <v>AL151977</v>
          </cell>
          <cell r="B157">
            <v>1977</v>
          </cell>
          <cell r="C157" t="str">
            <v>STORM 15</v>
          </cell>
          <cell r="D157" t="str">
            <v>walked</v>
          </cell>
          <cell r="E157">
            <v>30</v>
          </cell>
          <cell r="F157" t="str">
            <v>NA</v>
          </cell>
          <cell r="G157" t="str">
            <v>NA</v>
          </cell>
        </row>
        <row r="158">
          <cell r="A158" t="str">
            <v>AL021977</v>
          </cell>
          <cell r="B158">
            <v>1977</v>
          </cell>
          <cell r="C158" t="str">
            <v>STORM 2</v>
          </cell>
          <cell r="D158" t="str">
            <v>walked</v>
          </cell>
          <cell r="E158">
            <v>30</v>
          </cell>
          <cell r="F158" t="str">
            <v>NA</v>
          </cell>
          <cell r="G158" t="str">
            <v>NA</v>
          </cell>
        </row>
        <row r="159">
          <cell r="A159" t="str">
            <v>AL041978</v>
          </cell>
          <cell r="B159">
            <v>1978</v>
          </cell>
          <cell r="C159" t="str">
            <v>AMELIA</v>
          </cell>
          <cell r="D159" t="str">
            <v>walked</v>
          </cell>
          <cell r="E159">
            <v>30</v>
          </cell>
          <cell r="F159">
            <v>1006</v>
          </cell>
          <cell r="G159" t="str">
            <v>NA</v>
          </cell>
        </row>
        <row r="160">
          <cell r="A160" t="str">
            <v>AL091978</v>
          </cell>
          <cell r="B160">
            <v>1978</v>
          </cell>
          <cell r="C160" t="str">
            <v>DEBRA</v>
          </cell>
          <cell r="D160" t="str">
            <v>walked</v>
          </cell>
          <cell r="E160">
            <v>50</v>
          </cell>
          <cell r="F160">
            <v>1000</v>
          </cell>
          <cell r="G160" t="str">
            <v>NA</v>
          </cell>
        </row>
        <row r="161">
          <cell r="A161" t="str">
            <v>AL081978</v>
          </cell>
          <cell r="B161">
            <v>1978</v>
          </cell>
          <cell r="C161" t="str">
            <v>STORM 8</v>
          </cell>
          <cell r="D161" t="str">
            <v>walked</v>
          </cell>
          <cell r="E161">
            <v>25</v>
          </cell>
          <cell r="F161" t="str">
            <v>NA</v>
          </cell>
          <cell r="G161" t="str">
            <v>NA</v>
          </cell>
        </row>
        <row r="162">
          <cell r="A162" t="str">
            <v>AL041979</v>
          </cell>
          <cell r="B162">
            <v>1979</v>
          </cell>
          <cell r="C162" t="str">
            <v>BOB</v>
          </cell>
          <cell r="D162" t="str">
            <v>walked</v>
          </cell>
          <cell r="E162">
            <v>65</v>
          </cell>
          <cell r="F162">
            <v>991</v>
          </cell>
          <cell r="G162">
            <v>1</v>
          </cell>
        </row>
        <row r="163">
          <cell r="A163" t="str">
            <v>AL061979</v>
          </cell>
          <cell r="B163">
            <v>1979</v>
          </cell>
          <cell r="C163" t="str">
            <v>CLAUDETTE</v>
          </cell>
          <cell r="D163" t="str">
            <v>walked</v>
          </cell>
          <cell r="E163">
            <v>45</v>
          </cell>
          <cell r="F163">
            <v>1000</v>
          </cell>
          <cell r="G163" t="str">
            <v>NA</v>
          </cell>
        </row>
        <row r="164">
          <cell r="A164" t="str">
            <v>AL091979</v>
          </cell>
          <cell r="B164">
            <v>1979</v>
          </cell>
          <cell r="C164" t="str">
            <v>DAVID</v>
          </cell>
          <cell r="D164" t="str">
            <v>walked</v>
          </cell>
          <cell r="E164">
            <v>85</v>
          </cell>
          <cell r="F164">
            <v>970</v>
          </cell>
          <cell r="G164">
            <v>2</v>
          </cell>
        </row>
        <row r="165">
          <cell r="A165" t="str">
            <v>AL121979</v>
          </cell>
          <cell r="B165">
            <v>1979</v>
          </cell>
          <cell r="C165" t="str">
            <v>ELENA</v>
          </cell>
          <cell r="D165" t="str">
            <v>walked</v>
          </cell>
          <cell r="E165">
            <v>35</v>
          </cell>
          <cell r="F165">
            <v>1008</v>
          </cell>
          <cell r="G165" t="str">
            <v>NA</v>
          </cell>
        </row>
        <row r="166">
          <cell r="A166" t="str">
            <v>AL111979</v>
          </cell>
          <cell r="B166">
            <v>1979</v>
          </cell>
          <cell r="C166" t="str">
            <v>FREDERIC</v>
          </cell>
          <cell r="D166" t="str">
            <v>walked</v>
          </cell>
          <cell r="E166">
            <v>115</v>
          </cell>
          <cell r="F166">
            <v>946</v>
          </cell>
          <cell r="G166">
            <v>4</v>
          </cell>
        </row>
        <row r="167">
          <cell r="A167" t="str">
            <v>AL011979</v>
          </cell>
          <cell r="B167">
            <v>1979</v>
          </cell>
          <cell r="C167" t="str">
            <v>STORM 1</v>
          </cell>
          <cell r="D167" t="str">
            <v>walked</v>
          </cell>
          <cell r="E167">
            <v>30</v>
          </cell>
          <cell r="F167" t="str">
            <v>NA</v>
          </cell>
          <cell r="G167" t="str">
            <v>NA</v>
          </cell>
        </row>
        <row r="168">
          <cell r="A168" t="str">
            <v>AL041980</v>
          </cell>
          <cell r="B168">
            <v>1980</v>
          </cell>
          <cell r="C168" t="str">
            <v>ALLEN</v>
          </cell>
          <cell r="D168" t="str">
            <v>walked</v>
          </cell>
          <cell r="E168">
            <v>110</v>
          </cell>
          <cell r="F168">
            <v>935</v>
          </cell>
          <cell r="G168">
            <v>3</v>
          </cell>
        </row>
        <row r="169">
          <cell r="A169" t="str">
            <v>AL111980</v>
          </cell>
          <cell r="B169">
            <v>1980</v>
          </cell>
          <cell r="C169" t="str">
            <v>DANIELLE</v>
          </cell>
          <cell r="D169" t="str">
            <v>walked</v>
          </cell>
          <cell r="E169">
            <v>50</v>
          </cell>
          <cell r="F169">
            <v>1004</v>
          </cell>
          <cell r="G169" t="str">
            <v>NA</v>
          </cell>
        </row>
        <row r="170">
          <cell r="A170" t="str">
            <v>AL011980</v>
          </cell>
          <cell r="B170">
            <v>1980</v>
          </cell>
          <cell r="C170" t="str">
            <v>STORM 1</v>
          </cell>
          <cell r="D170" t="str">
            <v>walked</v>
          </cell>
          <cell r="E170">
            <v>25</v>
          </cell>
          <cell r="F170" t="str">
            <v>NA</v>
          </cell>
          <cell r="G170" t="str">
            <v>NA</v>
          </cell>
        </row>
        <row r="171">
          <cell r="A171" t="str">
            <v>AL171980</v>
          </cell>
          <cell r="B171">
            <v>1980</v>
          </cell>
          <cell r="C171" t="str">
            <v>STORM 17</v>
          </cell>
          <cell r="D171" t="str">
            <v>walked</v>
          </cell>
          <cell r="E171">
            <v>25</v>
          </cell>
          <cell r="F171" t="str">
            <v>NA</v>
          </cell>
          <cell r="G171" t="str">
            <v>NA</v>
          </cell>
        </row>
        <row r="172">
          <cell r="A172" t="str">
            <v>AL021980</v>
          </cell>
          <cell r="B172">
            <v>1980</v>
          </cell>
          <cell r="C172" t="str">
            <v>STORM 2</v>
          </cell>
          <cell r="D172" t="str">
            <v>walked</v>
          </cell>
          <cell r="E172">
            <v>30</v>
          </cell>
          <cell r="F172" t="str">
            <v>NA</v>
          </cell>
          <cell r="G172" t="str">
            <v>NA</v>
          </cell>
        </row>
        <row r="173">
          <cell r="A173" t="str">
            <v>AL021981</v>
          </cell>
          <cell r="B173">
            <v>1981</v>
          </cell>
          <cell r="C173" t="str">
            <v>BRET</v>
          </cell>
          <cell r="D173" t="str">
            <v>walked</v>
          </cell>
          <cell r="E173">
            <v>50</v>
          </cell>
          <cell r="F173">
            <v>1000</v>
          </cell>
          <cell r="G173" t="str">
            <v>NA</v>
          </cell>
        </row>
        <row r="174">
          <cell r="A174" t="str">
            <v>AL101981</v>
          </cell>
          <cell r="B174">
            <v>1981</v>
          </cell>
          <cell r="C174" t="str">
            <v>DENNIS</v>
          </cell>
          <cell r="D174" t="str">
            <v>walked</v>
          </cell>
          <cell r="E174">
            <v>50</v>
          </cell>
          <cell r="F174">
            <v>999</v>
          </cell>
          <cell r="G174" t="str">
            <v>NA</v>
          </cell>
        </row>
        <row r="175">
          <cell r="A175" t="str">
            <v>AL041981</v>
          </cell>
          <cell r="B175">
            <v>1981</v>
          </cell>
          <cell r="C175" t="str">
            <v>STORM 4</v>
          </cell>
          <cell r="D175" t="str">
            <v>walked</v>
          </cell>
          <cell r="E175">
            <v>30</v>
          </cell>
          <cell r="F175" t="str">
            <v>NA</v>
          </cell>
          <cell r="G175" t="str">
            <v>NA</v>
          </cell>
        </row>
        <row r="176">
          <cell r="A176" t="str">
            <v>AL071981</v>
          </cell>
          <cell r="B176">
            <v>1981</v>
          </cell>
          <cell r="C176" t="str">
            <v>STORM 7</v>
          </cell>
          <cell r="D176" t="str">
            <v>walked</v>
          </cell>
          <cell r="E176">
            <v>30</v>
          </cell>
          <cell r="F176" t="str">
            <v>NA</v>
          </cell>
          <cell r="G176" t="str">
            <v>NA</v>
          </cell>
        </row>
        <row r="177">
          <cell r="A177" t="str">
            <v>AL051982</v>
          </cell>
          <cell r="B177">
            <v>1982</v>
          </cell>
          <cell r="C177" t="str">
            <v>CHRIS</v>
          </cell>
          <cell r="D177" t="str">
            <v>walked</v>
          </cell>
          <cell r="E177">
            <v>50</v>
          </cell>
          <cell r="F177">
            <v>997</v>
          </cell>
          <cell r="G177" t="str">
            <v>NA</v>
          </cell>
        </row>
        <row r="178">
          <cell r="A178" t="str">
            <v>AL021982</v>
          </cell>
          <cell r="B178">
            <v>1982</v>
          </cell>
          <cell r="C178" t="str">
            <v>STORM 2</v>
          </cell>
          <cell r="D178" t="str">
            <v>walked</v>
          </cell>
          <cell r="E178">
            <v>60</v>
          </cell>
          <cell r="F178">
            <v>992</v>
          </cell>
          <cell r="G178" t="str">
            <v>NA</v>
          </cell>
        </row>
        <row r="179">
          <cell r="A179" t="str">
            <v>AL061983</v>
          </cell>
          <cell r="B179">
            <v>1983</v>
          </cell>
          <cell r="C179" t="str">
            <v>DEAN</v>
          </cell>
          <cell r="D179" t="str">
            <v>walked</v>
          </cell>
          <cell r="E179">
            <v>55</v>
          </cell>
          <cell r="F179">
            <v>1009</v>
          </cell>
          <cell r="G179" t="str">
            <v>NA</v>
          </cell>
        </row>
        <row r="180">
          <cell r="A180" t="str">
            <v>AL151984</v>
          </cell>
          <cell r="B180">
            <v>1984</v>
          </cell>
          <cell r="C180" t="str">
            <v>ISIDORE</v>
          </cell>
          <cell r="D180" t="str">
            <v>walked</v>
          </cell>
          <cell r="E180">
            <v>50</v>
          </cell>
          <cell r="F180">
            <v>1000</v>
          </cell>
          <cell r="G180" t="str">
            <v>NA</v>
          </cell>
        </row>
        <row r="181">
          <cell r="A181" t="str">
            <v>AL011984</v>
          </cell>
          <cell r="B181">
            <v>1984</v>
          </cell>
          <cell r="C181" t="str">
            <v>STORM 1</v>
          </cell>
          <cell r="D181" t="str">
            <v>walked</v>
          </cell>
          <cell r="E181">
            <v>25</v>
          </cell>
          <cell r="F181" t="str">
            <v>NA</v>
          </cell>
          <cell r="G181" t="str">
            <v>NA</v>
          </cell>
        </row>
        <row r="182">
          <cell r="A182" t="str">
            <v>AL171984</v>
          </cell>
          <cell r="B182">
            <v>1984</v>
          </cell>
          <cell r="C182" t="str">
            <v>STORM 17</v>
          </cell>
          <cell r="D182" t="str">
            <v>walked</v>
          </cell>
          <cell r="E182">
            <v>30</v>
          </cell>
          <cell r="F182" t="str">
            <v>NA</v>
          </cell>
          <cell r="G182" t="str">
            <v>NA</v>
          </cell>
        </row>
        <row r="183">
          <cell r="A183" t="str">
            <v>AL021985</v>
          </cell>
          <cell r="B183">
            <v>1985</v>
          </cell>
          <cell r="C183" t="str">
            <v>BOB</v>
          </cell>
          <cell r="D183" t="str">
            <v>walked</v>
          </cell>
          <cell r="E183">
            <v>40</v>
          </cell>
          <cell r="F183">
            <v>1004</v>
          </cell>
          <cell r="G183" t="str">
            <v>NA</v>
          </cell>
        </row>
        <row r="184">
          <cell r="A184" t="str">
            <v>AL041986</v>
          </cell>
          <cell r="B184">
            <v>1986</v>
          </cell>
          <cell r="C184" t="str">
            <v>STORM 4</v>
          </cell>
          <cell r="D184" t="str">
            <v>walked</v>
          </cell>
          <cell r="E184">
            <v>25</v>
          </cell>
          <cell r="F184" t="str">
            <v>NA</v>
          </cell>
          <cell r="G184" t="str">
            <v>NA</v>
          </cell>
        </row>
        <row r="185">
          <cell r="A185" t="str">
            <v>AL141987</v>
          </cell>
          <cell r="B185">
            <v>1987</v>
          </cell>
          <cell r="C185" t="str">
            <v>STORM 14</v>
          </cell>
          <cell r="D185" t="str">
            <v>walked</v>
          </cell>
          <cell r="E185">
            <v>20</v>
          </cell>
          <cell r="F185" t="str">
            <v>NA</v>
          </cell>
          <cell r="G185" t="str">
            <v>NA</v>
          </cell>
        </row>
        <row r="186">
          <cell r="A186" t="str">
            <v>AL091987</v>
          </cell>
          <cell r="B186">
            <v>1987</v>
          </cell>
          <cell r="C186" t="str">
            <v>STORM 9</v>
          </cell>
          <cell r="D186" t="str">
            <v>walked</v>
          </cell>
          <cell r="E186">
            <v>30</v>
          </cell>
          <cell r="F186" t="str">
            <v>NA</v>
          </cell>
          <cell r="G186" t="str">
            <v>NA</v>
          </cell>
        </row>
        <row r="187">
          <cell r="A187" t="str">
            <v>AL081988</v>
          </cell>
          <cell r="B187">
            <v>1988</v>
          </cell>
          <cell r="C187" t="str">
            <v>GILBERT</v>
          </cell>
          <cell r="D187" t="str">
            <v>walked</v>
          </cell>
          <cell r="E187">
            <v>25</v>
          </cell>
          <cell r="F187">
            <v>1003</v>
          </cell>
          <cell r="G187" t="str">
            <v>NA</v>
          </cell>
        </row>
        <row r="188">
          <cell r="A188" t="str">
            <v>AL141988</v>
          </cell>
          <cell r="B188">
            <v>1988</v>
          </cell>
          <cell r="C188" t="str">
            <v>STORM 14</v>
          </cell>
          <cell r="D188" t="str">
            <v>walked</v>
          </cell>
          <cell r="E188">
            <v>30</v>
          </cell>
          <cell r="F188" t="str">
            <v>NA</v>
          </cell>
          <cell r="G188" t="str">
            <v>NA</v>
          </cell>
        </row>
        <row r="189">
          <cell r="A189" t="str">
            <v>AL151990</v>
          </cell>
          <cell r="B189">
            <v>1990</v>
          </cell>
          <cell r="C189" t="str">
            <v>MARCO</v>
          </cell>
          <cell r="D189" t="str">
            <v>walked</v>
          </cell>
          <cell r="E189">
            <v>55</v>
          </cell>
          <cell r="F189">
            <v>989</v>
          </cell>
          <cell r="G189" t="str">
            <v>NA</v>
          </cell>
        </row>
        <row r="190">
          <cell r="A190" t="str">
            <v>AL011991</v>
          </cell>
          <cell r="B190">
            <v>1991</v>
          </cell>
          <cell r="C190" t="str">
            <v>ANA</v>
          </cell>
          <cell r="D190" t="str">
            <v>walked</v>
          </cell>
          <cell r="E190">
            <v>20</v>
          </cell>
          <cell r="F190">
            <v>1012</v>
          </cell>
          <cell r="G190" t="str">
            <v>NA</v>
          </cell>
        </row>
        <row r="191">
          <cell r="A191" t="str">
            <v>AL042003</v>
          </cell>
          <cell r="B191">
            <v>2003</v>
          </cell>
          <cell r="C191" t="str">
            <v>CLAUDETTE</v>
          </cell>
          <cell r="D191" t="str">
            <v>walked</v>
          </cell>
          <cell r="E191">
            <v>35</v>
          </cell>
          <cell r="F191">
            <v>1007</v>
          </cell>
          <cell r="G191" t="str">
            <v>NA</v>
          </cell>
        </row>
        <row r="192">
          <cell r="A192" t="str">
            <v>AL112009</v>
          </cell>
          <cell r="B192">
            <v>2009</v>
          </cell>
          <cell r="C192" t="str">
            <v>IDA</v>
          </cell>
          <cell r="D192" t="str">
            <v>walked</v>
          </cell>
          <cell r="E192">
            <v>45</v>
          </cell>
          <cell r="F192">
            <v>998</v>
          </cell>
          <cell r="G192" t="str">
            <v>NA</v>
          </cell>
        </row>
        <row r="193">
          <cell r="A193" t="str">
            <v>AL052010</v>
          </cell>
          <cell r="B193">
            <v>2010</v>
          </cell>
          <cell r="C193" t="str">
            <v>FIVE</v>
          </cell>
          <cell r="D193" t="str">
            <v>walked</v>
          </cell>
          <cell r="E193">
            <v>25</v>
          </cell>
          <cell r="F193">
            <v>1008</v>
          </cell>
          <cell r="G193" t="str">
            <v>NA</v>
          </cell>
        </row>
        <row r="194">
          <cell r="A194" t="str">
            <v>AL162019</v>
          </cell>
          <cell r="B194">
            <v>2019</v>
          </cell>
          <cell r="C194" t="str">
            <v>NESTOR</v>
          </cell>
          <cell r="D194" t="str">
            <v>walked</v>
          </cell>
          <cell r="E194">
            <v>40</v>
          </cell>
          <cell r="F194">
            <v>996</v>
          </cell>
          <cell r="G194" t="str">
            <v>NA</v>
          </cell>
        </row>
        <row r="195">
          <cell r="A195" t="str">
            <v>AL172019</v>
          </cell>
          <cell r="B195">
            <v>2019</v>
          </cell>
          <cell r="C195" t="str">
            <v>OLGA</v>
          </cell>
          <cell r="D195" t="str">
            <v>walked</v>
          </cell>
          <cell r="E195">
            <v>45</v>
          </cell>
          <cell r="F195">
            <v>994</v>
          </cell>
          <cell r="G195" t="str">
            <v>NA</v>
          </cell>
        </row>
        <row r="196">
          <cell r="A196" t="str">
            <v>AL012022</v>
          </cell>
          <cell r="B196">
            <v>2022</v>
          </cell>
          <cell r="C196" t="str">
            <v>ALEX</v>
          </cell>
          <cell r="D196" t="str">
            <v>walked</v>
          </cell>
          <cell r="E196">
            <v>35</v>
          </cell>
          <cell r="F196">
            <v>1002</v>
          </cell>
          <cell r="G196" t="str">
            <v>NA</v>
          </cell>
        </row>
        <row r="197">
          <cell r="A197"/>
          <cell r="B197"/>
          <cell r="D197"/>
          <cell r="E197"/>
          <cell r="F197"/>
          <cell r="G197"/>
        </row>
        <row r="198">
          <cell r="A198"/>
          <cell r="B198"/>
          <cell r="D198"/>
          <cell r="E198"/>
          <cell r="F198"/>
          <cell r="G198"/>
        </row>
        <row r="199">
          <cell r="A199"/>
          <cell r="B199"/>
          <cell r="D199"/>
          <cell r="E199"/>
          <cell r="F199"/>
          <cell r="G199"/>
        </row>
        <row r="200">
          <cell r="A200"/>
          <cell r="B200"/>
          <cell r="D200"/>
          <cell r="E200"/>
          <cell r="F200"/>
          <cell r="G200"/>
        </row>
        <row r="201">
          <cell r="A201"/>
          <cell r="B201"/>
          <cell r="D201"/>
          <cell r="E201"/>
          <cell r="F201"/>
          <cell r="G201"/>
        </row>
        <row r="202">
          <cell r="A202"/>
          <cell r="B202"/>
          <cell r="D202"/>
          <cell r="E202"/>
          <cell r="F202"/>
          <cell r="G202"/>
        </row>
        <row r="203">
          <cell r="A203"/>
          <cell r="B203"/>
          <cell r="D203"/>
          <cell r="E203"/>
          <cell r="F203"/>
          <cell r="G203"/>
        </row>
        <row r="204">
          <cell r="A204"/>
          <cell r="B204"/>
          <cell r="D204"/>
          <cell r="E204"/>
          <cell r="F204"/>
          <cell r="G204"/>
        </row>
        <row r="205">
          <cell r="A205"/>
          <cell r="B205"/>
          <cell r="D205"/>
          <cell r="E205"/>
          <cell r="F205"/>
          <cell r="G205"/>
        </row>
        <row r="206">
          <cell r="A206"/>
          <cell r="B206"/>
          <cell r="D206"/>
          <cell r="E206"/>
          <cell r="F206"/>
          <cell r="G206"/>
        </row>
        <row r="207">
          <cell r="A207"/>
          <cell r="B207"/>
          <cell r="D207"/>
          <cell r="E207"/>
          <cell r="F207"/>
          <cell r="G207"/>
        </row>
        <row r="208">
          <cell r="A208"/>
          <cell r="B208"/>
          <cell r="D208"/>
          <cell r="E208"/>
          <cell r="F208"/>
          <cell r="G208"/>
        </row>
        <row r="209">
          <cell r="A209"/>
          <cell r="B209"/>
          <cell r="D209"/>
          <cell r="E209"/>
          <cell r="F209"/>
          <cell r="G209"/>
        </row>
        <row r="210">
          <cell r="A210"/>
          <cell r="B210"/>
          <cell r="D210"/>
          <cell r="E210"/>
          <cell r="F210"/>
          <cell r="G210"/>
        </row>
        <row r="211">
          <cell r="A211"/>
          <cell r="B211"/>
          <cell r="D211"/>
          <cell r="E211"/>
          <cell r="F211"/>
          <cell r="G211"/>
        </row>
        <row r="212">
          <cell r="A212"/>
          <cell r="B212"/>
          <cell r="D212"/>
          <cell r="E212"/>
          <cell r="F212"/>
          <cell r="G212"/>
        </row>
        <row r="213">
          <cell r="A213"/>
          <cell r="B213"/>
          <cell r="D213"/>
          <cell r="E213"/>
          <cell r="F213"/>
          <cell r="G213"/>
        </row>
        <row r="214">
          <cell r="A214"/>
          <cell r="B214"/>
          <cell r="D214"/>
          <cell r="E214"/>
          <cell r="F214"/>
          <cell r="G214"/>
        </row>
        <row r="215">
          <cell r="A215"/>
          <cell r="B215"/>
          <cell r="D215"/>
          <cell r="E215"/>
          <cell r="F215"/>
          <cell r="G215"/>
        </row>
        <row r="216">
          <cell r="A216"/>
          <cell r="B216"/>
          <cell r="D216"/>
          <cell r="E216"/>
          <cell r="F216"/>
          <cell r="G216"/>
        </row>
        <row r="217">
          <cell r="A217"/>
          <cell r="B217"/>
          <cell r="D217"/>
          <cell r="E217"/>
          <cell r="F217"/>
          <cell r="G217"/>
        </row>
        <row r="218">
          <cell r="A218"/>
          <cell r="B218"/>
          <cell r="D218"/>
          <cell r="E218"/>
          <cell r="F218"/>
          <cell r="G218"/>
        </row>
        <row r="219">
          <cell r="A219"/>
          <cell r="B219"/>
          <cell r="D219"/>
          <cell r="E219"/>
          <cell r="F219"/>
          <cell r="G219"/>
        </row>
        <row r="220">
          <cell r="A220"/>
          <cell r="B220"/>
          <cell r="D220"/>
          <cell r="E220"/>
          <cell r="F220"/>
          <cell r="G220"/>
        </row>
        <row r="221">
          <cell r="A221"/>
          <cell r="B221"/>
          <cell r="D221"/>
          <cell r="E221"/>
          <cell r="F221"/>
          <cell r="G221"/>
        </row>
        <row r="222">
          <cell r="A222"/>
          <cell r="B222"/>
          <cell r="D222"/>
          <cell r="E222"/>
          <cell r="F222"/>
          <cell r="G222"/>
        </row>
        <row r="223">
          <cell r="A223"/>
          <cell r="B223"/>
          <cell r="D223"/>
          <cell r="E223"/>
          <cell r="F223"/>
          <cell r="G223"/>
        </row>
        <row r="224">
          <cell r="A224"/>
          <cell r="B224"/>
          <cell r="D224"/>
          <cell r="E224"/>
          <cell r="F224"/>
          <cell r="G224"/>
        </row>
        <row r="225">
          <cell r="A225"/>
          <cell r="B225"/>
          <cell r="D225"/>
          <cell r="E225"/>
          <cell r="F225"/>
          <cell r="G225"/>
        </row>
        <row r="226">
          <cell r="A226"/>
          <cell r="B226"/>
          <cell r="D226"/>
          <cell r="E226"/>
          <cell r="F226"/>
          <cell r="G226"/>
        </row>
        <row r="227">
          <cell r="A227"/>
          <cell r="B227"/>
          <cell r="D227"/>
          <cell r="E227"/>
          <cell r="F227"/>
          <cell r="G227"/>
        </row>
        <row r="228">
          <cell r="A228"/>
          <cell r="B228"/>
          <cell r="D228"/>
          <cell r="E228"/>
          <cell r="F228"/>
          <cell r="G228"/>
        </row>
        <row r="229">
          <cell r="A229"/>
          <cell r="B229"/>
          <cell r="D229"/>
          <cell r="E229"/>
          <cell r="F229"/>
          <cell r="G229"/>
        </row>
        <row r="230">
          <cell r="A230"/>
          <cell r="B230"/>
          <cell r="D230"/>
          <cell r="E230"/>
          <cell r="F230"/>
          <cell r="G230"/>
        </row>
        <row r="231">
          <cell r="A231"/>
          <cell r="B231"/>
          <cell r="D231"/>
          <cell r="E231"/>
          <cell r="F231"/>
          <cell r="G231"/>
        </row>
        <row r="232">
          <cell r="A232"/>
          <cell r="B232"/>
          <cell r="D232"/>
          <cell r="E232"/>
          <cell r="F232"/>
          <cell r="G232"/>
        </row>
        <row r="233">
          <cell r="A233"/>
          <cell r="B233"/>
          <cell r="D233"/>
          <cell r="E233"/>
          <cell r="F233"/>
          <cell r="G233"/>
        </row>
        <row r="234">
          <cell r="A234"/>
          <cell r="B234"/>
          <cell r="D234"/>
          <cell r="E234"/>
          <cell r="F234"/>
          <cell r="G234"/>
        </row>
        <row r="235">
          <cell r="A235"/>
          <cell r="B235"/>
          <cell r="D235"/>
          <cell r="E235"/>
          <cell r="F235"/>
          <cell r="G235"/>
        </row>
        <row r="236">
          <cell r="A236"/>
          <cell r="B236"/>
          <cell r="D236"/>
          <cell r="E236"/>
          <cell r="F236"/>
          <cell r="G236"/>
        </row>
        <row r="237">
          <cell r="A237"/>
          <cell r="B237"/>
          <cell r="D237"/>
          <cell r="E237"/>
          <cell r="F237"/>
          <cell r="G237"/>
        </row>
        <row r="238">
          <cell r="A238"/>
          <cell r="B238"/>
          <cell r="D238"/>
          <cell r="E238"/>
          <cell r="F238"/>
          <cell r="G238"/>
        </row>
        <row r="239">
          <cell r="A239"/>
          <cell r="B239"/>
          <cell r="D239"/>
          <cell r="E239"/>
          <cell r="F239"/>
          <cell r="G239"/>
        </row>
        <row r="240">
          <cell r="A240"/>
          <cell r="B240"/>
          <cell r="D240"/>
          <cell r="E240"/>
          <cell r="F240"/>
          <cell r="G240"/>
        </row>
        <row r="241">
          <cell r="A241"/>
          <cell r="B241"/>
          <cell r="D241"/>
          <cell r="E241"/>
          <cell r="F241"/>
          <cell r="G241"/>
        </row>
        <row r="242">
          <cell r="A242"/>
          <cell r="B242"/>
          <cell r="D242"/>
          <cell r="E242"/>
          <cell r="F242"/>
          <cell r="G242"/>
        </row>
        <row r="243">
          <cell r="A243"/>
          <cell r="B243"/>
          <cell r="D243"/>
          <cell r="E243"/>
          <cell r="F243"/>
          <cell r="G243"/>
        </row>
        <row r="244">
          <cell r="A244"/>
          <cell r="B244"/>
          <cell r="D244"/>
          <cell r="E244"/>
          <cell r="F244"/>
          <cell r="G244"/>
        </row>
        <row r="245">
          <cell r="A245"/>
          <cell r="B245"/>
          <cell r="D245"/>
          <cell r="E245"/>
          <cell r="F245"/>
          <cell r="G245"/>
        </row>
        <row r="246">
          <cell r="A246"/>
          <cell r="B246"/>
          <cell r="D246"/>
          <cell r="E246"/>
          <cell r="F246"/>
          <cell r="G246"/>
        </row>
        <row r="247">
          <cell r="A247"/>
          <cell r="B247"/>
          <cell r="D247"/>
          <cell r="E247"/>
          <cell r="F247"/>
          <cell r="G247"/>
        </row>
        <row r="248">
          <cell r="A248"/>
          <cell r="B248"/>
          <cell r="D248"/>
          <cell r="E248"/>
          <cell r="F248"/>
          <cell r="G248"/>
        </row>
        <row r="249">
          <cell r="A249"/>
          <cell r="B249"/>
          <cell r="D249"/>
          <cell r="E249"/>
          <cell r="F249"/>
          <cell r="G249"/>
        </row>
        <row r="250">
          <cell r="A250"/>
          <cell r="B250"/>
          <cell r="D250"/>
          <cell r="E250"/>
          <cell r="F250"/>
          <cell r="G250"/>
        </row>
        <row r="251">
          <cell r="A251"/>
          <cell r="B251"/>
          <cell r="D251"/>
          <cell r="E251"/>
          <cell r="F251"/>
          <cell r="G251"/>
        </row>
        <row r="252">
          <cell r="A252"/>
          <cell r="B252"/>
          <cell r="D252"/>
          <cell r="E252"/>
          <cell r="F252"/>
          <cell r="G252"/>
        </row>
        <row r="253">
          <cell r="A253"/>
          <cell r="B253"/>
          <cell r="D253"/>
          <cell r="E253"/>
          <cell r="F253"/>
          <cell r="G253"/>
        </row>
        <row r="254">
          <cell r="A254"/>
          <cell r="B254"/>
          <cell r="D254"/>
          <cell r="E254"/>
          <cell r="F254"/>
          <cell r="G254"/>
        </row>
        <row r="255">
          <cell r="A255"/>
          <cell r="B255"/>
          <cell r="D255"/>
          <cell r="E255"/>
          <cell r="F255"/>
          <cell r="G255"/>
        </row>
        <row r="256">
          <cell r="A256"/>
          <cell r="B256"/>
          <cell r="D256"/>
          <cell r="E256"/>
          <cell r="F256"/>
          <cell r="G256"/>
        </row>
        <row r="257">
          <cell r="A257"/>
          <cell r="B257"/>
          <cell r="D257"/>
          <cell r="E257"/>
          <cell r="F257"/>
          <cell r="G257"/>
        </row>
        <row r="258">
          <cell r="A258"/>
          <cell r="B258"/>
          <cell r="D258"/>
          <cell r="E258"/>
          <cell r="F258"/>
          <cell r="G258"/>
        </row>
        <row r="259">
          <cell r="A259"/>
          <cell r="B259"/>
          <cell r="D259"/>
          <cell r="E259"/>
          <cell r="F259"/>
          <cell r="G259"/>
        </row>
        <row r="260">
          <cell r="A260"/>
          <cell r="B260"/>
          <cell r="D260"/>
          <cell r="E260"/>
          <cell r="F260"/>
          <cell r="G260"/>
        </row>
        <row r="261">
          <cell r="A261"/>
          <cell r="B261"/>
          <cell r="D261"/>
          <cell r="E261"/>
          <cell r="F261"/>
          <cell r="G261"/>
        </row>
        <row r="262">
          <cell r="A262"/>
          <cell r="B262"/>
          <cell r="D262"/>
          <cell r="E262"/>
          <cell r="F262"/>
          <cell r="G262"/>
        </row>
        <row r="263">
          <cell r="A263"/>
          <cell r="B263"/>
          <cell r="D263"/>
          <cell r="E263"/>
          <cell r="F263"/>
          <cell r="G263"/>
        </row>
        <row r="264">
          <cell r="A264"/>
          <cell r="B264"/>
          <cell r="D264"/>
          <cell r="E264"/>
          <cell r="F264"/>
          <cell r="G264"/>
        </row>
        <row r="265">
          <cell r="A265"/>
          <cell r="B265"/>
          <cell r="D265"/>
          <cell r="E265"/>
          <cell r="F265"/>
          <cell r="G265"/>
        </row>
        <row r="266">
          <cell r="A266"/>
          <cell r="B266"/>
          <cell r="D266"/>
          <cell r="E266"/>
          <cell r="F266"/>
          <cell r="G266"/>
        </row>
        <row r="267">
          <cell r="A267"/>
          <cell r="B267"/>
          <cell r="D267"/>
          <cell r="E267"/>
          <cell r="F267"/>
          <cell r="G267"/>
        </row>
        <row r="268">
          <cell r="A268"/>
          <cell r="B268"/>
          <cell r="D268"/>
          <cell r="E268"/>
          <cell r="F268"/>
          <cell r="G268"/>
        </row>
        <row r="269">
          <cell r="A269"/>
          <cell r="B269"/>
          <cell r="D269"/>
          <cell r="E269"/>
          <cell r="F269"/>
          <cell r="G269"/>
        </row>
        <row r="270">
          <cell r="A270"/>
          <cell r="B270"/>
          <cell r="D270"/>
          <cell r="E270"/>
          <cell r="F270"/>
          <cell r="G270"/>
        </row>
        <row r="271">
          <cell r="A271"/>
          <cell r="B271"/>
          <cell r="D271"/>
          <cell r="E271"/>
          <cell r="F271"/>
          <cell r="G271"/>
        </row>
        <row r="272">
          <cell r="A272"/>
          <cell r="B272"/>
          <cell r="D272"/>
          <cell r="E272"/>
          <cell r="F272"/>
          <cell r="G272"/>
        </row>
        <row r="273">
          <cell r="A273"/>
          <cell r="B273"/>
          <cell r="D273"/>
          <cell r="E273"/>
          <cell r="F273"/>
          <cell r="G273"/>
        </row>
        <row r="274">
          <cell r="A274"/>
          <cell r="B274"/>
          <cell r="D274"/>
          <cell r="E274"/>
          <cell r="F274"/>
          <cell r="G274"/>
        </row>
        <row r="275">
          <cell r="A275"/>
          <cell r="B275"/>
          <cell r="D275"/>
          <cell r="E275"/>
          <cell r="F275"/>
          <cell r="G275"/>
        </row>
        <row r="276">
          <cell r="A276"/>
          <cell r="B276"/>
          <cell r="D276"/>
          <cell r="E276"/>
          <cell r="F276"/>
          <cell r="G276"/>
        </row>
        <row r="277">
          <cell r="A277"/>
          <cell r="B277"/>
          <cell r="D277"/>
          <cell r="E277"/>
          <cell r="F277"/>
          <cell r="G277"/>
        </row>
        <row r="278">
          <cell r="A278"/>
          <cell r="B278"/>
          <cell r="D278"/>
          <cell r="E278"/>
          <cell r="F278"/>
          <cell r="G278"/>
        </row>
        <row r="279">
          <cell r="A279"/>
          <cell r="B279"/>
          <cell r="D279"/>
          <cell r="E279"/>
          <cell r="F279"/>
          <cell r="G279"/>
        </row>
        <row r="280">
          <cell r="A280"/>
          <cell r="B280"/>
          <cell r="D280"/>
          <cell r="E280"/>
          <cell r="F280"/>
          <cell r="G280"/>
        </row>
        <row r="281">
          <cell r="A281"/>
          <cell r="B281"/>
          <cell r="D281"/>
          <cell r="E281"/>
          <cell r="F281"/>
          <cell r="G281"/>
        </row>
        <row r="282">
          <cell r="A282"/>
          <cell r="B282"/>
          <cell r="D282"/>
          <cell r="E282"/>
          <cell r="F282"/>
          <cell r="G282"/>
        </row>
        <row r="283">
          <cell r="A283"/>
          <cell r="B283"/>
          <cell r="D283"/>
          <cell r="E283"/>
          <cell r="F283"/>
          <cell r="G283"/>
        </row>
        <row r="284">
          <cell r="A284"/>
          <cell r="B284"/>
          <cell r="D284"/>
          <cell r="E284"/>
          <cell r="F284"/>
          <cell r="G284"/>
        </row>
        <row r="285">
          <cell r="A285"/>
          <cell r="B285"/>
          <cell r="D285"/>
          <cell r="E285"/>
          <cell r="F285"/>
          <cell r="G285"/>
        </row>
        <row r="286">
          <cell r="A286"/>
          <cell r="B286"/>
          <cell r="D286"/>
          <cell r="E286"/>
          <cell r="F286"/>
          <cell r="G286"/>
        </row>
        <row r="287">
          <cell r="A287"/>
          <cell r="B287"/>
          <cell r="D287"/>
          <cell r="E287"/>
          <cell r="F287"/>
          <cell r="G287"/>
        </row>
        <row r="288">
          <cell r="A288"/>
          <cell r="B288"/>
          <cell r="D288"/>
          <cell r="E288"/>
          <cell r="F288"/>
          <cell r="G288"/>
        </row>
        <row r="289">
          <cell r="A289"/>
          <cell r="B289"/>
          <cell r="D289"/>
          <cell r="E289"/>
          <cell r="F289"/>
          <cell r="G289"/>
        </row>
        <row r="290">
          <cell r="A290"/>
          <cell r="B290"/>
          <cell r="D290"/>
          <cell r="E290"/>
          <cell r="F290"/>
          <cell r="G290"/>
        </row>
        <row r="291">
          <cell r="A291"/>
          <cell r="B291"/>
          <cell r="D291"/>
          <cell r="E291"/>
          <cell r="F291"/>
          <cell r="G291"/>
        </row>
        <row r="292">
          <cell r="A292"/>
          <cell r="B292"/>
          <cell r="D292"/>
          <cell r="E292"/>
          <cell r="F292"/>
          <cell r="G292"/>
        </row>
        <row r="293">
          <cell r="A293"/>
          <cell r="B293"/>
          <cell r="D293"/>
          <cell r="E293"/>
          <cell r="F293"/>
          <cell r="G293"/>
        </row>
        <row r="294">
          <cell r="A294"/>
          <cell r="B294"/>
          <cell r="D294"/>
          <cell r="E294"/>
          <cell r="F294"/>
          <cell r="G294"/>
        </row>
        <row r="295">
          <cell r="A295"/>
          <cell r="B295"/>
          <cell r="D295"/>
          <cell r="E295"/>
          <cell r="F295"/>
          <cell r="G295"/>
        </row>
        <row r="296">
          <cell r="A296"/>
          <cell r="B296"/>
          <cell r="D296"/>
          <cell r="E296"/>
          <cell r="F296"/>
          <cell r="G296"/>
        </row>
        <row r="297">
          <cell r="A297"/>
          <cell r="B297"/>
          <cell r="D297"/>
          <cell r="E297"/>
          <cell r="F297"/>
          <cell r="G297"/>
        </row>
        <row r="298">
          <cell r="A298"/>
          <cell r="B298"/>
          <cell r="D298"/>
          <cell r="E298"/>
          <cell r="F298"/>
          <cell r="G298"/>
        </row>
        <row r="299">
          <cell r="A299"/>
          <cell r="B299"/>
          <cell r="D299"/>
          <cell r="E299"/>
          <cell r="F299"/>
          <cell r="G299"/>
        </row>
        <row r="300">
          <cell r="A300"/>
          <cell r="B300"/>
          <cell r="D300"/>
          <cell r="E300"/>
          <cell r="F300"/>
          <cell r="G300"/>
        </row>
        <row r="301">
          <cell r="A301"/>
          <cell r="B301"/>
          <cell r="D301"/>
          <cell r="E301"/>
          <cell r="F301"/>
          <cell r="G301"/>
        </row>
        <row r="302">
          <cell r="A302"/>
          <cell r="B302"/>
          <cell r="D302"/>
          <cell r="E302"/>
          <cell r="F302"/>
          <cell r="G302"/>
        </row>
        <row r="303">
          <cell r="A303"/>
          <cell r="B303"/>
          <cell r="D303"/>
          <cell r="E303"/>
          <cell r="F303"/>
          <cell r="G303"/>
        </row>
        <row r="304">
          <cell r="A304"/>
          <cell r="B304"/>
          <cell r="D304"/>
          <cell r="E304"/>
          <cell r="F304"/>
          <cell r="G304"/>
        </row>
        <row r="305">
          <cell r="A305"/>
          <cell r="B305"/>
          <cell r="D305"/>
          <cell r="E305"/>
          <cell r="F305"/>
          <cell r="G305"/>
        </row>
        <row r="306">
          <cell r="A306"/>
          <cell r="B306"/>
          <cell r="D306"/>
          <cell r="E306"/>
          <cell r="F306"/>
          <cell r="G306"/>
        </row>
        <row r="307">
          <cell r="A307"/>
          <cell r="B307"/>
          <cell r="D307"/>
          <cell r="E307"/>
          <cell r="F307"/>
          <cell r="G307"/>
        </row>
        <row r="308">
          <cell r="A308"/>
          <cell r="B308"/>
          <cell r="D308"/>
          <cell r="E308"/>
          <cell r="F308"/>
          <cell r="G308"/>
        </row>
        <row r="309">
          <cell r="A309"/>
          <cell r="B309"/>
          <cell r="D309"/>
          <cell r="E309"/>
          <cell r="F309"/>
          <cell r="G309"/>
        </row>
        <row r="310">
          <cell r="A310"/>
          <cell r="B310"/>
          <cell r="D310"/>
          <cell r="E310"/>
          <cell r="F310"/>
          <cell r="G310"/>
        </row>
        <row r="311">
          <cell r="A311"/>
          <cell r="B311"/>
          <cell r="D311"/>
          <cell r="E311"/>
          <cell r="F311"/>
          <cell r="G311"/>
        </row>
        <row r="312">
          <cell r="A312"/>
          <cell r="B312"/>
          <cell r="D312"/>
          <cell r="E312"/>
          <cell r="F312"/>
          <cell r="G312"/>
        </row>
        <row r="313">
          <cell r="A313"/>
          <cell r="B313"/>
          <cell r="D313"/>
          <cell r="E313"/>
          <cell r="F313"/>
          <cell r="G313"/>
        </row>
        <row r="314">
          <cell r="A314"/>
          <cell r="B314"/>
          <cell r="D314"/>
          <cell r="E314"/>
          <cell r="F314"/>
          <cell r="G314"/>
        </row>
        <row r="315">
          <cell r="A315"/>
          <cell r="B315"/>
          <cell r="D315"/>
          <cell r="E315"/>
          <cell r="F315"/>
          <cell r="G315"/>
        </row>
        <row r="316">
          <cell r="A316"/>
          <cell r="B316"/>
          <cell r="D316"/>
          <cell r="E316"/>
          <cell r="F316"/>
          <cell r="G316"/>
        </row>
        <row r="317">
          <cell r="A317"/>
          <cell r="B317"/>
          <cell r="D317"/>
          <cell r="E317"/>
          <cell r="F317"/>
          <cell r="G317"/>
        </row>
        <row r="318">
          <cell r="A318"/>
          <cell r="B318"/>
          <cell r="D318"/>
          <cell r="E318"/>
          <cell r="F318"/>
          <cell r="G318"/>
        </row>
        <row r="319">
          <cell r="A319"/>
          <cell r="B319"/>
          <cell r="D319"/>
          <cell r="E319"/>
          <cell r="F319"/>
          <cell r="G319"/>
        </row>
        <row r="320">
          <cell r="A320"/>
          <cell r="B320"/>
          <cell r="D320"/>
          <cell r="E320"/>
          <cell r="F320"/>
          <cell r="G320"/>
        </row>
        <row r="321">
          <cell r="A321"/>
          <cell r="B321"/>
          <cell r="D321"/>
          <cell r="E321"/>
          <cell r="F321"/>
          <cell r="G321"/>
        </row>
        <row r="322">
          <cell r="A322"/>
          <cell r="B322"/>
          <cell r="D322"/>
          <cell r="E322"/>
          <cell r="F322"/>
          <cell r="G322"/>
        </row>
        <row r="323">
          <cell r="A323"/>
          <cell r="B323"/>
          <cell r="D323"/>
          <cell r="E323"/>
          <cell r="F323"/>
          <cell r="G323"/>
        </row>
        <row r="324">
          <cell r="A324"/>
          <cell r="B324"/>
          <cell r="D324"/>
          <cell r="E324"/>
          <cell r="F324"/>
          <cell r="G324"/>
        </row>
        <row r="325">
          <cell r="A325"/>
          <cell r="B325"/>
          <cell r="D325"/>
          <cell r="E325"/>
          <cell r="F325"/>
          <cell r="G325"/>
        </row>
        <row r="326">
          <cell r="A326"/>
          <cell r="B326"/>
          <cell r="D326"/>
          <cell r="E326"/>
          <cell r="F326"/>
          <cell r="G326"/>
        </row>
        <row r="327">
          <cell r="A327"/>
          <cell r="B327"/>
          <cell r="D327"/>
          <cell r="E327"/>
          <cell r="F327"/>
          <cell r="G327"/>
        </row>
        <row r="328">
          <cell r="A328"/>
          <cell r="B328"/>
          <cell r="D328"/>
          <cell r="E328"/>
          <cell r="F328"/>
          <cell r="G328"/>
        </row>
        <row r="329">
          <cell r="A329"/>
          <cell r="B329"/>
          <cell r="D329"/>
          <cell r="E329"/>
          <cell r="F329"/>
          <cell r="G329"/>
        </row>
        <row r="330">
          <cell r="A330"/>
          <cell r="B330"/>
          <cell r="D330"/>
          <cell r="E330"/>
          <cell r="F330"/>
          <cell r="G330"/>
        </row>
        <row r="331">
          <cell r="A331"/>
          <cell r="B331"/>
          <cell r="D331"/>
          <cell r="E331"/>
          <cell r="F331"/>
          <cell r="G331"/>
        </row>
        <row r="332">
          <cell r="A332"/>
          <cell r="B332"/>
          <cell r="D332"/>
          <cell r="E332"/>
          <cell r="F332"/>
          <cell r="G332"/>
        </row>
        <row r="333">
          <cell r="A333"/>
          <cell r="B333"/>
          <cell r="D333"/>
          <cell r="E333"/>
          <cell r="F333"/>
          <cell r="G333"/>
        </row>
        <row r="334">
          <cell r="A334"/>
          <cell r="B334"/>
          <cell r="D334"/>
          <cell r="E334"/>
          <cell r="F334"/>
          <cell r="G334"/>
        </row>
        <row r="335">
          <cell r="A335"/>
          <cell r="B335"/>
          <cell r="D335"/>
          <cell r="E335"/>
          <cell r="F335"/>
          <cell r="G335"/>
        </row>
        <row r="336">
          <cell r="A336"/>
          <cell r="B336"/>
          <cell r="D336"/>
          <cell r="E336"/>
          <cell r="F336"/>
          <cell r="G336"/>
        </row>
        <row r="337">
          <cell r="A337"/>
          <cell r="B337"/>
          <cell r="D337"/>
          <cell r="E337"/>
          <cell r="F337"/>
          <cell r="G337"/>
        </row>
        <row r="338">
          <cell r="A338"/>
          <cell r="B338"/>
          <cell r="D338"/>
          <cell r="E338"/>
          <cell r="F338"/>
          <cell r="G338"/>
        </row>
        <row r="339">
          <cell r="A339"/>
          <cell r="B339"/>
          <cell r="D339"/>
          <cell r="E339"/>
          <cell r="F339"/>
          <cell r="G339"/>
        </row>
        <row r="340">
          <cell r="A340"/>
          <cell r="B340"/>
          <cell r="D340"/>
          <cell r="E340"/>
          <cell r="F340"/>
          <cell r="G340"/>
        </row>
        <row r="341">
          <cell r="A341"/>
          <cell r="B341"/>
          <cell r="D341"/>
          <cell r="E341"/>
          <cell r="F341"/>
          <cell r="G341"/>
        </row>
        <row r="342">
          <cell r="A342"/>
          <cell r="B342"/>
          <cell r="D342"/>
          <cell r="E342"/>
          <cell r="F342"/>
          <cell r="G342"/>
        </row>
        <row r="343">
          <cell r="A343"/>
          <cell r="B343"/>
          <cell r="D343"/>
          <cell r="E343"/>
          <cell r="F343"/>
          <cell r="G343"/>
        </row>
        <row r="344">
          <cell r="A344"/>
          <cell r="B344"/>
          <cell r="D344"/>
          <cell r="E344"/>
          <cell r="F344"/>
          <cell r="G344"/>
        </row>
        <row r="345">
          <cell r="A345"/>
          <cell r="B345"/>
          <cell r="D345"/>
          <cell r="E345"/>
          <cell r="F345"/>
          <cell r="G345"/>
        </row>
        <row r="346">
          <cell r="A346"/>
          <cell r="B346"/>
          <cell r="D346"/>
          <cell r="E346"/>
          <cell r="F346"/>
          <cell r="G346"/>
        </row>
        <row r="347">
          <cell r="A347"/>
          <cell r="B347"/>
          <cell r="D347"/>
          <cell r="E347"/>
          <cell r="F347"/>
          <cell r="G347"/>
        </row>
        <row r="348">
          <cell r="A348"/>
          <cell r="B348"/>
          <cell r="D348"/>
          <cell r="E348"/>
          <cell r="F348"/>
          <cell r="G348"/>
        </row>
        <row r="349">
          <cell r="A349"/>
          <cell r="B349"/>
          <cell r="D349"/>
          <cell r="E349"/>
          <cell r="F349"/>
          <cell r="G349"/>
        </row>
        <row r="350">
          <cell r="A350"/>
          <cell r="B350"/>
          <cell r="D350"/>
          <cell r="E350"/>
          <cell r="F350"/>
          <cell r="G350"/>
        </row>
        <row r="351">
          <cell r="A351"/>
          <cell r="B351"/>
          <cell r="D351"/>
          <cell r="E351"/>
          <cell r="F351"/>
          <cell r="G351"/>
        </row>
        <row r="352">
          <cell r="A352"/>
          <cell r="B352"/>
          <cell r="D352"/>
          <cell r="E352"/>
          <cell r="F352"/>
          <cell r="G352"/>
        </row>
        <row r="353">
          <cell r="A353"/>
          <cell r="B353"/>
          <cell r="D353"/>
          <cell r="E353"/>
          <cell r="F353"/>
          <cell r="G353"/>
        </row>
        <row r="354">
          <cell r="A354"/>
          <cell r="B354"/>
          <cell r="D354"/>
          <cell r="E354"/>
          <cell r="F354"/>
          <cell r="G354"/>
        </row>
        <row r="355">
          <cell r="A355"/>
          <cell r="B355"/>
          <cell r="D355"/>
          <cell r="E355"/>
          <cell r="F355"/>
          <cell r="G355"/>
        </row>
        <row r="356">
          <cell r="A356"/>
          <cell r="B356"/>
          <cell r="D356"/>
          <cell r="E356"/>
          <cell r="F356"/>
          <cell r="G356"/>
        </row>
        <row r="357">
          <cell r="A357"/>
          <cell r="B357"/>
          <cell r="D357"/>
          <cell r="E357"/>
          <cell r="F357"/>
          <cell r="G357"/>
        </row>
        <row r="358">
          <cell r="A358"/>
          <cell r="B358"/>
          <cell r="D358"/>
          <cell r="E358"/>
          <cell r="F358"/>
          <cell r="G358"/>
        </row>
        <row r="359">
          <cell r="A359"/>
          <cell r="B359"/>
          <cell r="D359"/>
          <cell r="E359"/>
          <cell r="F359"/>
          <cell r="G359"/>
        </row>
        <row r="360">
          <cell r="A360"/>
          <cell r="B360"/>
          <cell r="D360"/>
          <cell r="E360"/>
          <cell r="F360"/>
          <cell r="G360"/>
        </row>
        <row r="361">
          <cell r="A361"/>
          <cell r="B361"/>
          <cell r="D361"/>
          <cell r="E361"/>
          <cell r="F361"/>
          <cell r="G361"/>
        </row>
        <row r="362">
          <cell r="A362"/>
          <cell r="B362"/>
          <cell r="D362"/>
          <cell r="E362"/>
          <cell r="F362"/>
          <cell r="G362"/>
        </row>
        <row r="363">
          <cell r="A363"/>
          <cell r="B363"/>
          <cell r="D363"/>
          <cell r="E363"/>
          <cell r="F363"/>
          <cell r="G363"/>
        </row>
        <row r="364">
          <cell r="A364"/>
          <cell r="B364"/>
          <cell r="D364"/>
          <cell r="E364"/>
          <cell r="F364"/>
          <cell r="G364"/>
        </row>
        <row r="365">
          <cell r="A365"/>
          <cell r="B365"/>
          <cell r="D365"/>
          <cell r="E365"/>
          <cell r="F365"/>
          <cell r="G365"/>
        </row>
        <row r="366">
          <cell r="A366"/>
          <cell r="B366"/>
          <cell r="D366"/>
          <cell r="E366"/>
          <cell r="F366"/>
          <cell r="G366"/>
        </row>
        <row r="367">
          <cell r="A367"/>
          <cell r="B367"/>
          <cell r="D367"/>
          <cell r="E367"/>
          <cell r="F367"/>
          <cell r="G367"/>
        </row>
        <row r="368">
          <cell r="A368"/>
          <cell r="B368"/>
          <cell r="D368"/>
          <cell r="E368"/>
          <cell r="F368"/>
          <cell r="G368"/>
        </row>
        <row r="369">
          <cell r="A369"/>
          <cell r="B369"/>
          <cell r="D369"/>
          <cell r="E369"/>
          <cell r="F369"/>
          <cell r="G369"/>
        </row>
        <row r="370">
          <cell r="A370"/>
          <cell r="B370"/>
          <cell r="D370"/>
          <cell r="E370"/>
          <cell r="F370"/>
          <cell r="G370"/>
        </row>
        <row r="371">
          <cell r="A371"/>
          <cell r="B371"/>
          <cell r="D371"/>
          <cell r="E371"/>
          <cell r="F371"/>
          <cell r="G371"/>
        </row>
        <row r="372">
          <cell r="A372"/>
          <cell r="B372"/>
          <cell r="D372"/>
          <cell r="E372"/>
          <cell r="F372"/>
          <cell r="G372"/>
        </row>
        <row r="373">
          <cell r="A373"/>
          <cell r="B373"/>
          <cell r="D373"/>
          <cell r="E373"/>
          <cell r="F373"/>
          <cell r="G373"/>
        </row>
        <row r="374">
          <cell r="A374"/>
          <cell r="B374"/>
          <cell r="D374"/>
          <cell r="E374"/>
          <cell r="F374"/>
          <cell r="G374"/>
        </row>
        <row r="375">
          <cell r="A375"/>
          <cell r="B375"/>
          <cell r="D375"/>
          <cell r="E375"/>
          <cell r="F375"/>
          <cell r="G375"/>
        </row>
        <row r="376">
          <cell r="A376"/>
          <cell r="B376"/>
          <cell r="D376"/>
          <cell r="E376"/>
          <cell r="F376"/>
          <cell r="G376"/>
        </row>
        <row r="377">
          <cell r="A377"/>
          <cell r="B377"/>
          <cell r="D377"/>
          <cell r="E377"/>
          <cell r="F377"/>
          <cell r="G377"/>
        </row>
        <row r="378">
          <cell r="A378"/>
          <cell r="B378"/>
          <cell r="D378"/>
          <cell r="E378"/>
          <cell r="F378"/>
          <cell r="G378"/>
        </row>
        <row r="379">
          <cell r="A379"/>
          <cell r="B379"/>
          <cell r="D379"/>
          <cell r="E379"/>
          <cell r="F379"/>
          <cell r="G379"/>
        </row>
        <row r="380">
          <cell r="A380"/>
          <cell r="B380"/>
          <cell r="D380"/>
          <cell r="E380"/>
          <cell r="F380"/>
          <cell r="G380"/>
        </row>
        <row r="381">
          <cell r="A381"/>
          <cell r="B381"/>
          <cell r="D381"/>
          <cell r="E381"/>
          <cell r="F381"/>
          <cell r="G381"/>
        </row>
        <row r="382">
          <cell r="A382"/>
          <cell r="B382"/>
          <cell r="D382"/>
          <cell r="E382"/>
          <cell r="F382"/>
          <cell r="G382"/>
        </row>
        <row r="383">
          <cell r="A383"/>
          <cell r="B383"/>
          <cell r="D383"/>
          <cell r="E383"/>
          <cell r="F383"/>
          <cell r="G383"/>
        </row>
        <row r="384">
          <cell r="A384"/>
          <cell r="B384"/>
          <cell r="D384"/>
          <cell r="E384"/>
          <cell r="F384"/>
          <cell r="G384"/>
        </row>
        <row r="385">
          <cell r="A385"/>
          <cell r="B385"/>
          <cell r="D385"/>
          <cell r="E385"/>
          <cell r="F385"/>
          <cell r="G385"/>
        </row>
        <row r="386">
          <cell r="A386"/>
          <cell r="B386"/>
          <cell r="D386"/>
          <cell r="E386"/>
          <cell r="F386"/>
          <cell r="G386"/>
        </row>
        <row r="387">
          <cell r="A387"/>
          <cell r="B387"/>
          <cell r="D387"/>
          <cell r="E387"/>
          <cell r="F387"/>
          <cell r="G387"/>
        </row>
        <row r="388">
          <cell r="A388"/>
          <cell r="B388"/>
          <cell r="D388"/>
          <cell r="E388"/>
          <cell r="F388"/>
          <cell r="G388"/>
        </row>
        <row r="389">
          <cell r="A389"/>
          <cell r="B389"/>
          <cell r="D389"/>
          <cell r="E389"/>
          <cell r="F389"/>
          <cell r="G389"/>
        </row>
        <row r="390">
          <cell r="A390"/>
          <cell r="B390"/>
          <cell r="D390"/>
          <cell r="E390"/>
          <cell r="F390"/>
          <cell r="G390"/>
        </row>
        <row r="391">
          <cell r="A391"/>
          <cell r="B391"/>
          <cell r="D391"/>
          <cell r="E391"/>
          <cell r="F391"/>
          <cell r="G391"/>
        </row>
        <row r="392">
          <cell r="A392"/>
          <cell r="B392"/>
          <cell r="D392"/>
          <cell r="E392"/>
          <cell r="F392"/>
          <cell r="G392"/>
        </row>
        <row r="393">
          <cell r="A393"/>
          <cell r="B393"/>
          <cell r="D393"/>
          <cell r="E393"/>
          <cell r="F393"/>
          <cell r="G393"/>
        </row>
        <row r="394">
          <cell r="A394"/>
          <cell r="B394"/>
          <cell r="D394"/>
          <cell r="E394"/>
          <cell r="F394"/>
          <cell r="G394"/>
        </row>
        <row r="395">
          <cell r="A395"/>
          <cell r="B395"/>
          <cell r="D395"/>
          <cell r="E395"/>
          <cell r="F395"/>
          <cell r="G395"/>
        </row>
        <row r="396">
          <cell r="A396"/>
          <cell r="B396"/>
          <cell r="D396"/>
          <cell r="E396"/>
          <cell r="F396"/>
          <cell r="G396"/>
        </row>
        <row r="397">
          <cell r="A397"/>
          <cell r="B397"/>
          <cell r="D397"/>
          <cell r="E397"/>
          <cell r="F397"/>
          <cell r="G397"/>
        </row>
        <row r="398">
          <cell r="A398"/>
          <cell r="B398"/>
          <cell r="D398"/>
          <cell r="E398"/>
          <cell r="F398"/>
          <cell r="G398"/>
        </row>
        <row r="399">
          <cell r="A399"/>
          <cell r="B399"/>
          <cell r="D399"/>
          <cell r="E399"/>
          <cell r="F399"/>
          <cell r="G399"/>
        </row>
        <row r="400">
          <cell r="A400"/>
          <cell r="B400"/>
          <cell r="D400"/>
          <cell r="E400"/>
          <cell r="F400"/>
          <cell r="G400"/>
        </row>
        <row r="401">
          <cell r="A401"/>
          <cell r="B401"/>
          <cell r="D401"/>
          <cell r="E401"/>
          <cell r="F401"/>
          <cell r="G401"/>
        </row>
        <row r="402">
          <cell r="A402"/>
          <cell r="B402"/>
          <cell r="D402"/>
          <cell r="E402"/>
          <cell r="F402"/>
          <cell r="G402"/>
        </row>
        <row r="403">
          <cell r="A403"/>
          <cell r="B403"/>
          <cell r="D403"/>
          <cell r="E403"/>
          <cell r="F403"/>
          <cell r="G403"/>
        </row>
        <row r="404">
          <cell r="A404"/>
          <cell r="B404"/>
          <cell r="D404"/>
          <cell r="E404"/>
          <cell r="F404"/>
          <cell r="G404"/>
        </row>
        <row r="405">
          <cell r="A405"/>
          <cell r="B405"/>
          <cell r="D405"/>
          <cell r="E405"/>
          <cell r="F405"/>
          <cell r="G405"/>
        </row>
        <row r="406">
          <cell r="A406"/>
          <cell r="B406"/>
          <cell r="D406"/>
          <cell r="E406"/>
          <cell r="F406"/>
          <cell r="G406"/>
        </row>
        <row r="407">
          <cell r="A407"/>
          <cell r="B407"/>
          <cell r="D407"/>
          <cell r="E407"/>
          <cell r="F407"/>
          <cell r="G407"/>
        </row>
        <row r="408">
          <cell r="A408"/>
          <cell r="B408"/>
          <cell r="D408"/>
          <cell r="E408"/>
          <cell r="F408"/>
          <cell r="G408"/>
        </row>
        <row r="409">
          <cell r="A409"/>
          <cell r="B409"/>
          <cell r="D409"/>
          <cell r="E409"/>
          <cell r="F409"/>
          <cell r="G409"/>
        </row>
        <row r="410">
          <cell r="A410"/>
          <cell r="B410"/>
          <cell r="D410"/>
          <cell r="E410"/>
          <cell r="F410"/>
          <cell r="G410"/>
        </row>
        <row r="411">
          <cell r="A411"/>
          <cell r="B411"/>
          <cell r="D411"/>
          <cell r="E411"/>
          <cell r="F411"/>
          <cell r="G411"/>
        </row>
        <row r="412">
          <cell r="A412"/>
          <cell r="B412"/>
          <cell r="D412"/>
          <cell r="E412"/>
          <cell r="F412"/>
          <cell r="G412"/>
        </row>
        <row r="413">
          <cell r="A413"/>
          <cell r="B413"/>
          <cell r="D413"/>
          <cell r="E413"/>
          <cell r="F413"/>
          <cell r="G413"/>
        </row>
        <row r="414">
          <cell r="A414"/>
          <cell r="B414"/>
          <cell r="D414"/>
          <cell r="E414"/>
          <cell r="F414"/>
          <cell r="G414"/>
        </row>
        <row r="415">
          <cell r="A415"/>
          <cell r="B415"/>
          <cell r="D415"/>
          <cell r="E415"/>
          <cell r="F415"/>
          <cell r="G415"/>
        </row>
        <row r="416">
          <cell r="A416"/>
          <cell r="B416"/>
          <cell r="D416"/>
          <cell r="E416"/>
          <cell r="F416"/>
          <cell r="G416"/>
        </row>
        <row r="417">
          <cell r="A417"/>
          <cell r="B417"/>
          <cell r="D417"/>
          <cell r="E417"/>
          <cell r="F417"/>
          <cell r="G417"/>
        </row>
        <row r="418">
          <cell r="A418"/>
          <cell r="B418"/>
          <cell r="D418"/>
          <cell r="E418"/>
          <cell r="F418"/>
          <cell r="G418"/>
        </row>
        <row r="419">
          <cell r="A419"/>
          <cell r="B419"/>
          <cell r="D419"/>
          <cell r="E419"/>
          <cell r="F419"/>
          <cell r="G419"/>
        </row>
        <row r="420">
          <cell r="A420"/>
          <cell r="B420"/>
          <cell r="D420"/>
          <cell r="E420"/>
          <cell r="F420"/>
          <cell r="G420"/>
        </row>
        <row r="421">
          <cell r="A421"/>
          <cell r="B421"/>
          <cell r="D421"/>
          <cell r="E421"/>
          <cell r="F421"/>
          <cell r="G421"/>
        </row>
        <row r="422">
          <cell r="A422"/>
          <cell r="B422"/>
          <cell r="D422"/>
          <cell r="E422"/>
          <cell r="F422"/>
          <cell r="G422"/>
        </row>
        <row r="423">
          <cell r="A423"/>
          <cell r="B423"/>
          <cell r="D423"/>
          <cell r="E423"/>
          <cell r="F423"/>
          <cell r="G423"/>
        </row>
        <row r="424">
          <cell r="A424"/>
          <cell r="B424"/>
          <cell r="D424"/>
          <cell r="E424"/>
          <cell r="F424"/>
          <cell r="G424"/>
        </row>
        <row r="425">
          <cell r="A425"/>
          <cell r="B425"/>
          <cell r="D425"/>
          <cell r="E425"/>
          <cell r="F425"/>
          <cell r="G425"/>
        </row>
        <row r="426">
          <cell r="A426"/>
          <cell r="B426"/>
          <cell r="D426"/>
          <cell r="E426"/>
          <cell r="F426"/>
          <cell r="G426"/>
        </row>
        <row r="427">
          <cell r="A427"/>
          <cell r="B427"/>
          <cell r="D427"/>
          <cell r="E427"/>
          <cell r="F427"/>
          <cell r="G427"/>
        </row>
        <row r="428">
          <cell r="A428"/>
          <cell r="B428"/>
          <cell r="D428"/>
          <cell r="E428"/>
          <cell r="F428"/>
          <cell r="G428"/>
        </row>
        <row r="429">
          <cell r="A429"/>
          <cell r="B429"/>
          <cell r="D429"/>
          <cell r="E429"/>
          <cell r="F429"/>
          <cell r="G429"/>
        </row>
        <row r="430">
          <cell r="A430"/>
          <cell r="B430"/>
          <cell r="D430"/>
          <cell r="E430"/>
          <cell r="F430"/>
          <cell r="G430"/>
        </row>
        <row r="431">
          <cell r="A431"/>
          <cell r="B431"/>
          <cell r="D431"/>
          <cell r="E431"/>
          <cell r="F431"/>
          <cell r="G431"/>
        </row>
        <row r="432">
          <cell r="A432"/>
          <cell r="B432"/>
          <cell r="D432"/>
          <cell r="E432"/>
          <cell r="F432"/>
          <cell r="G432"/>
        </row>
        <row r="433">
          <cell r="A433"/>
          <cell r="B433"/>
          <cell r="D433"/>
          <cell r="E433"/>
          <cell r="F433"/>
          <cell r="G433"/>
        </row>
        <row r="434">
          <cell r="A434"/>
          <cell r="B434"/>
          <cell r="D434"/>
          <cell r="E434"/>
          <cell r="F434"/>
          <cell r="G434"/>
        </row>
        <row r="435">
          <cell r="A435"/>
          <cell r="B435"/>
          <cell r="D435"/>
          <cell r="E435"/>
          <cell r="F435"/>
          <cell r="G435"/>
        </row>
        <row r="436">
          <cell r="A436"/>
          <cell r="B436"/>
          <cell r="D436"/>
          <cell r="E436"/>
          <cell r="F436"/>
          <cell r="G436"/>
        </row>
        <row r="437">
          <cell r="A437"/>
          <cell r="B437"/>
          <cell r="D437"/>
          <cell r="E437"/>
          <cell r="F437"/>
          <cell r="G437"/>
        </row>
        <row r="438">
          <cell r="A438"/>
          <cell r="B438"/>
          <cell r="D438"/>
          <cell r="E438"/>
          <cell r="F438"/>
          <cell r="G438"/>
        </row>
        <row r="439">
          <cell r="A439"/>
          <cell r="B439"/>
          <cell r="D439"/>
          <cell r="E439"/>
          <cell r="F439"/>
          <cell r="G439"/>
        </row>
        <row r="440">
          <cell r="A440"/>
          <cell r="B440"/>
          <cell r="D440"/>
          <cell r="E440"/>
          <cell r="F440"/>
          <cell r="G440"/>
        </row>
        <row r="441">
          <cell r="A441"/>
          <cell r="B441"/>
          <cell r="D441"/>
          <cell r="E441"/>
          <cell r="F441"/>
          <cell r="G441"/>
        </row>
        <row r="442">
          <cell r="A442"/>
          <cell r="B442"/>
          <cell r="D442"/>
          <cell r="E442"/>
          <cell r="F442"/>
          <cell r="G442"/>
        </row>
        <row r="443">
          <cell r="A443"/>
          <cell r="B443"/>
          <cell r="D443"/>
          <cell r="E443"/>
          <cell r="F443"/>
          <cell r="G443"/>
        </row>
        <row r="444">
          <cell r="A444"/>
          <cell r="B444"/>
          <cell r="D444"/>
          <cell r="E444"/>
          <cell r="F444"/>
          <cell r="G444"/>
        </row>
        <row r="445">
          <cell r="A445"/>
          <cell r="B445"/>
          <cell r="D445"/>
          <cell r="E445"/>
          <cell r="F445"/>
          <cell r="G445"/>
        </row>
        <row r="446">
          <cell r="A446"/>
          <cell r="B446"/>
          <cell r="D446"/>
          <cell r="E446"/>
          <cell r="F446"/>
          <cell r="G446"/>
        </row>
        <row r="447">
          <cell r="A447"/>
          <cell r="B447"/>
          <cell r="D447"/>
          <cell r="E447"/>
          <cell r="F447"/>
          <cell r="G447"/>
        </row>
        <row r="448">
          <cell r="A448"/>
          <cell r="B448"/>
          <cell r="D448"/>
          <cell r="E448"/>
          <cell r="F448"/>
          <cell r="G448"/>
        </row>
        <row r="449">
          <cell r="A449"/>
          <cell r="B449"/>
          <cell r="D449"/>
          <cell r="E449"/>
          <cell r="F449"/>
          <cell r="G449"/>
        </row>
        <row r="450">
          <cell r="A450"/>
          <cell r="B450"/>
          <cell r="D450"/>
          <cell r="E450"/>
          <cell r="F450"/>
          <cell r="G450"/>
        </row>
        <row r="451">
          <cell r="A451"/>
          <cell r="B451"/>
          <cell r="D451"/>
          <cell r="E451"/>
          <cell r="F451"/>
          <cell r="G451"/>
        </row>
        <row r="452">
          <cell r="A452"/>
          <cell r="B452"/>
          <cell r="D452"/>
          <cell r="E452"/>
          <cell r="F452"/>
          <cell r="G452"/>
        </row>
        <row r="453">
          <cell r="A453"/>
          <cell r="B453"/>
          <cell r="D453"/>
          <cell r="E453"/>
          <cell r="F453"/>
          <cell r="G453"/>
        </row>
        <row r="454">
          <cell r="A454"/>
          <cell r="B454"/>
          <cell r="D454"/>
          <cell r="E454"/>
          <cell r="F454"/>
          <cell r="G454"/>
        </row>
        <row r="455">
          <cell r="A455"/>
          <cell r="B455"/>
          <cell r="D455"/>
          <cell r="E455"/>
          <cell r="F455"/>
          <cell r="G455"/>
        </row>
        <row r="456">
          <cell r="A456"/>
          <cell r="B456"/>
          <cell r="D456"/>
          <cell r="E456"/>
          <cell r="F456"/>
          <cell r="G456"/>
        </row>
        <row r="457">
          <cell r="A457"/>
          <cell r="B457"/>
          <cell r="D457"/>
          <cell r="E457"/>
          <cell r="F457"/>
          <cell r="G457"/>
        </row>
        <row r="458">
          <cell r="A458"/>
          <cell r="B458"/>
          <cell r="D458"/>
          <cell r="E458"/>
          <cell r="F458"/>
          <cell r="G458"/>
        </row>
        <row r="459">
          <cell r="A459"/>
          <cell r="B459"/>
          <cell r="D459"/>
          <cell r="E459"/>
          <cell r="F459"/>
          <cell r="G459"/>
        </row>
        <row r="460">
          <cell r="A460"/>
          <cell r="B460"/>
          <cell r="D460"/>
          <cell r="E460"/>
          <cell r="F460"/>
          <cell r="G460"/>
        </row>
        <row r="461">
          <cell r="A461"/>
          <cell r="B461"/>
          <cell r="D461"/>
          <cell r="E461"/>
          <cell r="F461"/>
          <cell r="G461"/>
        </row>
        <row r="462">
          <cell r="A462"/>
          <cell r="B462"/>
          <cell r="D462"/>
          <cell r="E462"/>
          <cell r="F462"/>
          <cell r="G462"/>
        </row>
        <row r="463">
          <cell r="A463"/>
          <cell r="B463"/>
          <cell r="D463"/>
          <cell r="E463"/>
          <cell r="F463"/>
          <cell r="G463"/>
        </row>
        <row r="464">
          <cell r="A464"/>
          <cell r="B464"/>
          <cell r="D464"/>
          <cell r="E464"/>
          <cell r="F464"/>
          <cell r="G464"/>
        </row>
        <row r="465">
          <cell r="A465"/>
          <cell r="B465"/>
          <cell r="D465"/>
          <cell r="E465"/>
          <cell r="F465"/>
          <cell r="G465"/>
        </row>
        <row r="466">
          <cell r="A466"/>
          <cell r="B466"/>
          <cell r="D466"/>
          <cell r="E466"/>
          <cell r="F466"/>
          <cell r="G466"/>
        </row>
        <row r="467">
          <cell r="A467"/>
          <cell r="B467"/>
          <cell r="D467"/>
          <cell r="E467"/>
          <cell r="F467"/>
          <cell r="G467"/>
        </row>
        <row r="468">
          <cell r="A468"/>
          <cell r="B468"/>
          <cell r="D468"/>
          <cell r="E468"/>
          <cell r="F468"/>
          <cell r="G468"/>
        </row>
        <row r="469">
          <cell r="A469"/>
          <cell r="B469"/>
          <cell r="D469"/>
          <cell r="E469"/>
          <cell r="F469"/>
          <cell r="G469"/>
        </row>
        <row r="470">
          <cell r="A470"/>
          <cell r="B470"/>
          <cell r="D470"/>
          <cell r="E470"/>
          <cell r="F470"/>
          <cell r="G470"/>
        </row>
        <row r="471">
          <cell r="A471"/>
          <cell r="B471"/>
          <cell r="D471"/>
          <cell r="E471"/>
          <cell r="F471"/>
          <cell r="G471"/>
        </row>
        <row r="472">
          <cell r="A472"/>
          <cell r="B472"/>
          <cell r="D472"/>
          <cell r="E472"/>
          <cell r="F472"/>
          <cell r="G472"/>
        </row>
        <row r="473">
          <cell r="A473"/>
          <cell r="B473"/>
          <cell r="D473"/>
          <cell r="E473"/>
          <cell r="F473"/>
          <cell r="G473"/>
        </row>
        <row r="474">
          <cell r="A474"/>
          <cell r="B474"/>
          <cell r="D474"/>
          <cell r="E474"/>
          <cell r="F474"/>
          <cell r="G474"/>
        </row>
        <row r="475">
          <cell r="A475"/>
          <cell r="B475"/>
          <cell r="D475"/>
          <cell r="E475"/>
          <cell r="F475"/>
          <cell r="G475"/>
        </row>
        <row r="476">
          <cell r="A476"/>
          <cell r="B476"/>
          <cell r="D476"/>
          <cell r="E476"/>
          <cell r="F476"/>
          <cell r="G476"/>
        </row>
        <row r="477">
          <cell r="A477"/>
          <cell r="B477"/>
          <cell r="D477"/>
          <cell r="E477"/>
          <cell r="F477"/>
          <cell r="G477"/>
        </row>
        <row r="478">
          <cell r="A478"/>
          <cell r="B478"/>
          <cell r="D478"/>
          <cell r="E478"/>
          <cell r="F478"/>
          <cell r="G478"/>
        </row>
        <row r="479">
          <cell r="A479"/>
          <cell r="B479"/>
          <cell r="D479"/>
          <cell r="E479"/>
          <cell r="F479"/>
          <cell r="G479"/>
        </row>
        <row r="480">
          <cell r="A480"/>
          <cell r="B480"/>
          <cell r="D480"/>
          <cell r="E480"/>
          <cell r="F480"/>
          <cell r="G480"/>
        </row>
        <row r="481">
          <cell r="A481"/>
          <cell r="B481"/>
          <cell r="D481"/>
          <cell r="E481"/>
          <cell r="F481"/>
          <cell r="G481"/>
        </row>
        <row r="482">
          <cell r="A482"/>
          <cell r="B482"/>
          <cell r="D482"/>
          <cell r="E482"/>
          <cell r="F482"/>
          <cell r="G482"/>
        </row>
        <row r="483">
          <cell r="A483"/>
          <cell r="B483"/>
          <cell r="D483"/>
          <cell r="E483"/>
          <cell r="F483"/>
          <cell r="G483"/>
        </row>
        <row r="484">
          <cell r="A484"/>
          <cell r="B484"/>
          <cell r="D484"/>
          <cell r="E484"/>
          <cell r="F484"/>
          <cell r="G484"/>
        </row>
        <row r="485">
          <cell r="A485"/>
          <cell r="B485"/>
          <cell r="D485"/>
          <cell r="E485"/>
          <cell r="F485"/>
          <cell r="G485"/>
        </row>
        <row r="486">
          <cell r="A486"/>
          <cell r="B486"/>
          <cell r="D486"/>
          <cell r="E486"/>
          <cell r="F486"/>
          <cell r="G486"/>
        </row>
        <row r="487">
          <cell r="A487"/>
          <cell r="B487"/>
          <cell r="D487"/>
          <cell r="E487"/>
          <cell r="F487"/>
          <cell r="G487"/>
        </row>
        <row r="488">
          <cell r="A488"/>
          <cell r="B488"/>
          <cell r="D488"/>
          <cell r="E488"/>
          <cell r="F488"/>
          <cell r="G488"/>
        </row>
        <row r="489">
          <cell r="A489"/>
          <cell r="B489"/>
          <cell r="D489"/>
          <cell r="E489"/>
          <cell r="F489"/>
          <cell r="G489"/>
        </row>
        <row r="490">
          <cell r="A490"/>
          <cell r="B490"/>
          <cell r="D490"/>
          <cell r="E490"/>
          <cell r="F490"/>
          <cell r="G490"/>
        </row>
        <row r="491">
          <cell r="A491"/>
          <cell r="B491"/>
          <cell r="D491"/>
          <cell r="E491"/>
          <cell r="F491"/>
          <cell r="G491"/>
        </row>
        <row r="492">
          <cell r="A492"/>
          <cell r="B492"/>
          <cell r="D492"/>
          <cell r="E492"/>
          <cell r="F492"/>
          <cell r="G492"/>
        </row>
        <row r="493">
          <cell r="A493"/>
          <cell r="B493"/>
          <cell r="D493"/>
          <cell r="E493"/>
          <cell r="F493"/>
          <cell r="G493"/>
        </row>
        <row r="494">
          <cell r="A494"/>
          <cell r="B494"/>
          <cell r="D494"/>
          <cell r="E494"/>
          <cell r="F494"/>
          <cell r="G494"/>
        </row>
        <row r="495">
          <cell r="A495"/>
          <cell r="B495"/>
          <cell r="D495"/>
          <cell r="E495"/>
          <cell r="F495"/>
          <cell r="G495"/>
        </row>
        <row r="496">
          <cell r="A496"/>
          <cell r="B496"/>
          <cell r="D496"/>
          <cell r="E496"/>
          <cell r="F496"/>
          <cell r="G496"/>
        </row>
        <row r="497">
          <cell r="A497"/>
          <cell r="B497"/>
          <cell r="D497"/>
          <cell r="E497"/>
          <cell r="F497"/>
          <cell r="G497"/>
        </row>
        <row r="498">
          <cell r="A498"/>
          <cell r="B498"/>
          <cell r="D498"/>
          <cell r="E498"/>
          <cell r="F498"/>
          <cell r="G498"/>
        </row>
        <row r="499">
          <cell r="A499"/>
          <cell r="B499"/>
          <cell r="D499"/>
          <cell r="E499"/>
          <cell r="F499"/>
          <cell r="G499"/>
        </row>
        <row r="500">
          <cell r="A500"/>
          <cell r="B500"/>
          <cell r="D500"/>
          <cell r="E500"/>
          <cell r="F500"/>
          <cell r="G500"/>
        </row>
        <row r="501">
          <cell r="A501"/>
          <cell r="B501"/>
          <cell r="D501"/>
          <cell r="E501"/>
          <cell r="F501"/>
          <cell r="G501"/>
        </row>
        <row r="502">
          <cell r="A502"/>
          <cell r="B502"/>
          <cell r="D502"/>
          <cell r="E502"/>
          <cell r="F502"/>
          <cell r="G502"/>
        </row>
        <row r="503">
          <cell r="A503"/>
          <cell r="B503"/>
          <cell r="D503"/>
          <cell r="E503"/>
          <cell r="F503"/>
          <cell r="G503"/>
        </row>
        <row r="504">
          <cell r="A504"/>
          <cell r="B504"/>
          <cell r="D504"/>
          <cell r="E504"/>
          <cell r="F504"/>
          <cell r="G504"/>
        </row>
        <row r="505">
          <cell r="A505"/>
          <cell r="B505"/>
          <cell r="D505"/>
          <cell r="E505"/>
          <cell r="F505"/>
          <cell r="G505"/>
        </row>
        <row r="506">
          <cell r="A506"/>
          <cell r="B506"/>
          <cell r="D506"/>
          <cell r="E506"/>
          <cell r="F506"/>
          <cell r="G506"/>
        </row>
        <row r="507">
          <cell r="A507"/>
          <cell r="B507"/>
          <cell r="D507"/>
          <cell r="E507"/>
          <cell r="F507"/>
          <cell r="G507"/>
        </row>
        <row r="508">
          <cell r="A508"/>
          <cell r="B508"/>
          <cell r="D508"/>
          <cell r="E508"/>
          <cell r="F508"/>
          <cell r="G508"/>
        </row>
        <row r="509">
          <cell r="A509"/>
          <cell r="B509"/>
          <cell r="D509"/>
          <cell r="E509"/>
          <cell r="F509"/>
          <cell r="G509"/>
        </row>
        <row r="510">
          <cell r="A510"/>
          <cell r="B510"/>
          <cell r="D510"/>
          <cell r="E510"/>
          <cell r="F510"/>
          <cell r="G510"/>
        </row>
        <row r="511">
          <cell r="A511"/>
          <cell r="B511"/>
          <cell r="D511"/>
          <cell r="E511"/>
          <cell r="F511"/>
          <cell r="G511"/>
        </row>
        <row r="512">
          <cell r="A512"/>
          <cell r="B512"/>
          <cell r="D512"/>
          <cell r="E512"/>
          <cell r="F512"/>
          <cell r="G512"/>
        </row>
        <row r="513">
          <cell r="A513"/>
          <cell r="B513"/>
          <cell r="D513"/>
          <cell r="E513"/>
          <cell r="F513"/>
          <cell r="G513"/>
        </row>
        <row r="514">
          <cell r="A514"/>
          <cell r="B514"/>
          <cell r="D514"/>
          <cell r="E514"/>
          <cell r="F514"/>
          <cell r="G514"/>
        </row>
        <row r="515">
          <cell r="A515"/>
          <cell r="B515"/>
          <cell r="D515"/>
          <cell r="E515"/>
          <cell r="F515"/>
          <cell r="G515"/>
        </row>
        <row r="516">
          <cell r="A516"/>
          <cell r="B516"/>
          <cell r="D516"/>
          <cell r="E516"/>
          <cell r="F516"/>
          <cell r="G516"/>
        </row>
        <row r="517">
          <cell r="A517"/>
          <cell r="B517"/>
          <cell r="D517"/>
          <cell r="E517"/>
          <cell r="F517"/>
          <cell r="G517"/>
        </row>
        <row r="518">
          <cell r="A518"/>
          <cell r="B518"/>
          <cell r="D518"/>
          <cell r="E518"/>
          <cell r="F518"/>
          <cell r="G518"/>
        </row>
        <row r="519">
          <cell r="A519"/>
          <cell r="B519"/>
          <cell r="D519"/>
          <cell r="E519"/>
          <cell r="F519"/>
          <cell r="G519"/>
        </row>
        <row r="520">
          <cell r="A520"/>
          <cell r="B520"/>
          <cell r="D520"/>
          <cell r="E520"/>
          <cell r="F520"/>
          <cell r="G520"/>
        </row>
        <row r="521">
          <cell r="A521"/>
          <cell r="B521"/>
          <cell r="D521"/>
          <cell r="E521"/>
          <cell r="F521"/>
          <cell r="G521"/>
        </row>
        <row r="522">
          <cell r="A522"/>
          <cell r="B522"/>
          <cell r="D522"/>
          <cell r="E522"/>
          <cell r="F522"/>
          <cell r="G522"/>
        </row>
        <row r="523">
          <cell r="A523"/>
          <cell r="B523"/>
          <cell r="D523"/>
          <cell r="E523"/>
          <cell r="F523"/>
          <cell r="G523"/>
        </row>
        <row r="524">
          <cell r="A524"/>
          <cell r="B524"/>
          <cell r="D524"/>
          <cell r="E524"/>
          <cell r="F524"/>
          <cell r="G524"/>
        </row>
        <row r="525">
          <cell r="A525"/>
          <cell r="B525"/>
          <cell r="D525"/>
          <cell r="E525"/>
          <cell r="F525"/>
          <cell r="G525"/>
        </row>
        <row r="526">
          <cell r="A526"/>
          <cell r="B526"/>
          <cell r="D526"/>
          <cell r="E526"/>
          <cell r="F526"/>
          <cell r="G526"/>
        </row>
        <row r="527">
          <cell r="A527"/>
          <cell r="B527"/>
          <cell r="D527"/>
          <cell r="E527"/>
          <cell r="F527"/>
          <cell r="G527"/>
        </row>
        <row r="528">
          <cell r="A528"/>
          <cell r="B528"/>
          <cell r="D528"/>
          <cell r="E528"/>
          <cell r="F528"/>
          <cell r="G528"/>
        </row>
        <row r="529">
          <cell r="A529"/>
          <cell r="B529"/>
          <cell r="D529"/>
          <cell r="E529"/>
          <cell r="F529"/>
          <cell r="G529"/>
        </row>
        <row r="530">
          <cell r="A530"/>
          <cell r="B530"/>
          <cell r="D530"/>
          <cell r="E530"/>
          <cell r="F530"/>
          <cell r="G530"/>
        </row>
        <row r="531">
          <cell r="A531"/>
          <cell r="B531"/>
          <cell r="D531"/>
          <cell r="E531"/>
          <cell r="F531"/>
          <cell r="G531"/>
        </row>
        <row r="532">
          <cell r="A532"/>
          <cell r="B532"/>
          <cell r="D532"/>
          <cell r="E532"/>
          <cell r="F532"/>
          <cell r="G532"/>
        </row>
        <row r="533">
          <cell r="A533"/>
          <cell r="B533"/>
          <cell r="D533"/>
          <cell r="E533"/>
          <cell r="F533"/>
          <cell r="G533"/>
        </row>
        <row r="534">
          <cell r="A534"/>
          <cell r="B534"/>
          <cell r="D534"/>
          <cell r="E534"/>
          <cell r="F534"/>
          <cell r="G534"/>
        </row>
        <row r="535">
          <cell r="A535"/>
          <cell r="B535"/>
          <cell r="D535"/>
          <cell r="E535"/>
          <cell r="F535"/>
          <cell r="G535"/>
        </row>
        <row r="536">
          <cell r="A536"/>
          <cell r="B536"/>
          <cell r="D536"/>
          <cell r="E536"/>
          <cell r="F536"/>
          <cell r="G536"/>
        </row>
        <row r="537">
          <cell r="A537"/>
          <cell r="B537"/>
          <cell r="D537"/>
          <cell r="E537"/>
          <cell r="F537"/>
          <cell r="G537"/>
        </row>
        <row r="538">
          <cell r="A538"/>
          <cell r="B538"/>
          <cell r="D538"/>
          <cell r="E538"/>
          <cell r="F538"/>
          <cell r="G538"/>
        </row>
        <row r="539">
          <cell r="A539"/>
          <cell r="B539"/>
          <cell r="D539"/>
          <cell r="E539"/>
          <cell r="F539"/>
          <cell r="G539"/>
        </row>
        <row r="540">
          <cell r="A540"/>
          <cell r="B540"/>
          <cell r="D540"/>
          <cell r="E540"/>
          <cell r="F540"/>
          <cell r="G540"/>
        </row>
        <row r="541">
          <cell r="A541"/>
          <cell r="B541"/>
          <cell r="D541"/>
          <cell r="E541"/>
          <cell r="F541"/>
          <cell r="G541"/>
        </row>
        <row r="542">
          <cell r="A542"/>
          <cell r="B542"/>
          <cell r="D542"/>
          <cell r="E542"/>
          <cell r="F542"/>
          <cell r="G542"/>
        </row>
        <row r="543">
          <cell r="A543"/>
          <cell r="B543"/>
          <cell r="D543"/>
          <cell r="E543"/>
          <cell r="F543"/>
          <cell r="G543"/>
        </row>
        <row r="544">
          <cell r="A544"/>
          <cell r="B544"/>
          <cell r="D544"/>
          <cell r="E544"/>
          <cell r="F544"/>
          <cell r="G544"/>
        </row>
        <row r="545">
          <cell r="A545"/>
          <cell r="B545"/>
          <cell r="D545"/>
          <cell r="E545"/>
          <cell r="F545"/>
          <cell r="G545"/>
        </row>
        <row r="546">
          <cell r="A546"/>
          <cell r="B546"/>
          <cell r="D546"/>
          <cell r="E546"/>
          <cell r="F546"/>
          <cell r="G546"/>
        </row>
        <row r="547">
          <cell r="A547"/>
          <cell r="B547"/>
          <cell r="D547"/>
          <cell r="E547"/>
          <cell r="F547"/>
          <cell r="G547"/>
        </row>
        <row r="548">
          <cell r="A548"/>
          <cell r="B548"/>
          <cell r="D548"/>
          <cell r="E548"/>
          <cell r="F548"/>
          <cell r="G548"/>
        </row>
        <row r="549">
          <cell r="A549"/>
          <cell r="B549"/>
          <cell r="D549"/>
          <cell r="E549"/>
          <cell r="F549"/>
          <cell r="G549"/>
        </row>
        <row r="550">
          <cell r="A550"/>
          <cell r="B550"/>
          <cell r="D550"/>
          <cell r="E550"/>
          <cell r="F550"/>
          <cell r="G550"/>
        </row>
        <row r="551">
          <cell r="A551"/>
          <cell r="B551"/>
          <cell r="D551"/>
          <cell r="E551"/>
          <cell r="F551"/>
          <cell r="G551"/>
        </row>
        <row r="552">
          <cell r="A552"/>
          <cell r="B552"/>
          <cell r="D552"/>
          <cell r="E552"/>
          <cell r="F552"/>
          <cell r="G552"/>
        </row>
        <row r="553">
          <cell r="A553"/>
          <cell r="B553"/>
          <cell r="D553"/>
          <cell r="E553"/>
          <cell r="F553"/>
          <cell r="G553"/>
        </row>
        <row r="554">
          <cell r="A554"/>
          <cell r="B554"/>
          <cell r="D554"/>
          <cell r="E554"/>
          <cell r="F554"/>
          <cell r="G554"/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hc.noaa.gov/data/tcr/AL041998_Danielle.pdf" TargetMode="External"/><Relationship Id="rId671" Type="http://schemas.openxmlformats.org/officeDocument/2006/relationships/hyperlink" Target="https://www.nhc.noaa.gov/data/mwreview/1982.pdf" TargetMode="External"/><Relationship Id="rId21" Type="http://schemas.openxmlformats.org/officeDocument/2006/relationships/hyperlink" Target="https://www.nhc.noaa.gov/data/mwreview/1967.pdf" TargetMode="External"/><Relationship Id="rId324" Type="http://schemas.openxmlformats.org/officeDocument/2006/relationships/hyperlink" Target="https://www.nhc.noaa.gov/data/tcr/AL132013_Lorenzo.pdf" TargetMode="External"/><Relationship Id="rId531" Type="http://schemas.openxmlformats.org/officeDocument/2006/relationships/hyperlink" Target="https://www.nhc.noaa.gov/data/tcr/AL092008_Ike.pdf" TargetMode="External"/><Relationship Id="rId629" Type="http://schemas.openxmlformats.org/officeDocument/2006/relationships/hyperlink" Target="https://www.nhc.noaa.gov/data/mwreview/1976.pdf" TargetMode="External"/><Relationship Id="rId170" Type="http://schemas.openxmlformats.org/officeDocument/2006/relationships/hyperlink" Target="https://www.nhc.noaa.gov/data/tcr/AL152003_Juan.pdf" TargetMode="External"/><Relationship Id="rId268" Type="http://schemas.openxmlformats.org/officeDocument/2006/relationships/hyperlink" Target="https://www.nhc.noaa.gov/data/tcr/AL122010_Julia.pdf" TargetMode="External"/><Relationship Id="rId475" Type="http://schemas.openxmlformats.org/officeDocument/2006/relationships/hyperlink" Target="https://www.nhc.noaa.gov/data/tcr/AL142023_Margot.pdf" TargetMode="External"/><Relationship Id="rId682" Type="http://schemas.openxmlformats.org/officeDocument/2006/relationships/hyperlink" Target="https://www.nhc.noaa.gov/data/mwreview/1984.pdf" TargetMode="External"/><Relationship Id="rId32" Type="http://schemas.openxmlformats.org/officeDocument/2006/relationships/hyperlink" Target="https://www.aoml.noaa.gov/general/lib/lib1/nhclib/mwreviews/1968.pdf" TargetMode="External"/><Relationship Id="rId128" Type="http://schemas.openxmlformats.org/officeDocument/2006/relationships/hyperlink" Target="https://www.nhc.noaa.gov/data/tcr/AL141999_Jose.pdf" TargetMode="External"/><Relationship Id="rId335" Type="http://schemas.openxmlformats.org/officeDocument/2006/relationships/hyperlink" Target="https://www.nhc.noaa.gov/data/tcr/AL012015_Ana.pdf" TargetMode="External"/><Relationship Id="rId542" Type="http://schemas.openxmlformats.org/officeDocument/2006/relationships/hyperlink" Target="https://www.nhc.noaa.gov/data/mwreview/1981.pdf" TargetMode="External"/><Relationship Id="rId181" Type="http://schemas.openxmlformats.org/officeDocument/2006/relationships/hyperlink" Target="https://www.nhc.noaa.gov/data/tcr/AL082004_Hermine.pdf" TargetMode="External"/><Relationship Id="rId402" Type="http://schemas.openxmlformats.org/officeDocument/2006/relationships/hyperlink" Target="https://www.nhc.noaa.gov/data/tcr/AL152019_Fifteen.pdf" TargetMode="External"/><Relationship Id="rId279" Type="http://schemas.openxmlformats.org/officeDocument/2006/relationships/hyperlink" Target="https://www.nhc.noaa.gov/data/tcr/AL022011_Bret.pdf" TargetMode="External"/><Relationship Id="rId486" Type="http://schemas.openxmlformats.org/officeDocument/2006/relationships/hyperlink" Target="https://www.nhc.noaa.gov/data/tcr/AL062024_Francine.pdf" TargetMode="External"/><Relationship Id="rId693" Type="http://schemas.openxmlformats.org/officeDocument/2006/relationships/hyperlink" Target="https://www.nhc.noaa.gov/data/mwreview/1985.pdf" TargetMode="External"/><Relationship Id="rId707" Type="http://schemas.openxmlformats.org/officeDocument/2006/relationships/hyperlink" Target="https://www.nhc.noaa.gov/data/mwreview/1989.pdf" TargetMode="External"/><Relationship Id="rId43" Type="http://schemas.openxmlformats.org/officeDocument/2006/relationships/hyperlink" Target="https://www.nhc.noaa.gov/data/mwreview/1971.pdf" TargetMode="External"/><Relationship Id="rId139" Type="http://schemas.openxmlformats.org/officeDocument/2006/relationships/hyperlink" Target="https://www.nhc.noaa.gov/data/tcr/AL152000_Keith.pdf" TargetMode="External"/><Relationship Id="rId346" Type="http://schemas.openxmlformats.org/officeDocument/2006/relationships/hyperlink" Target="https://www.nhc.noaa.gov/data/tcr/AL122015_Kate.pdf" TargetMode="External"/><Relationship Id="rId553" Type="http://schemas.openxmlformats.org/officeDocument/2006/relationships/hyperlink" Target="https://www.nhc.noaa.gov/data/tcr/AL051998_Earl.pdf" TargetMode="External"/><Relationship Id="rId760" Type="http://schemas.openxmlformats.org/officeDocument/2006/relationships/hyperlink" Target="https://www.nhc.noaa.gov/data/tcr/AL162017_Nate.pdf" TargetMode="External"/><Relationship Id="rId192" Type="http://schemas.openxmlformats.org/officeDocument/2006/relationships/hyperlink" Target="https://www.nhc.noaa.gov/data/tcr/AL082005_Harvey.pdf" TargetMode="External"/><Relationship Id="rId206" Type="http://schemas.openxmlformats.org/officeDocument/2006/relationships/hyperlink" Target="https://www.nhc.noaa.gov/data/tcr/AL272005_Beta.pdf" TargetMode="External"/><Relationship Id="rId413" Type="http://schemas.openxmlformats.org/officeDocument/2006/relationships/hyperlink" Target="https://www.nhc.noaa.gov/data/tcr/AL062020_Fay.pdf" TargetMode="External"/><Relationship Id="rId497" Type="http://schemas.openxmlformats.org/officeDocument/2006/relationships/hyperlink" Target="https://www.nhc.noaa.gov/data/tcr/AL182024_Rafael.pdf" TargetMode="External"/><Relationship Id="rId620" Type="http://schemas.openxmlformats.org/officeDocument/2006/relationships/hyperlink" Target="https://www.nhc.noaa.gov/data/mwreview/1975.pdf" TargetMode="External"/><Relationship Id="rId718" Type="http://schemas.openxmlformats.org/officeDocument/2006/relationships/hyperlink" Target="https://www.nhc.noaa.gov/data/mwreview/1994.pdf" TargetMode="External"/><Relationship Id="rId357" Type="http://schemas.openxmlformats.org/officeDocument/2006/relationships/hyperlink" Target="https://www.nhc.noaa.gov/data/tcr/AL122016_Karl.pdf" TargetMode="External"/><Relationship Id="rId54" Type="http://schemas.openxmlformats.org/officeDocument/2006/relationships/hyperlink" Target="https://www.nhc.noaa.gov/data/mwreview/1985.pdf" TargetMode="External"/><Relationship Id="rId217" Type="http://schemas.openxmlformats.org/officeDocument/2006/relationships/hyperlink" Target="https://www.nhc.noaa.gov/data/tcr/AL092006_Helene.pdf" TargetMode="External"/><Relationship Id="rId564" Type="http://schemas.openxmlformats.org/officeDocument/2006/relationships/hyperlink" Target="https://www.nhc.noaa.gov/data/mwreview/1966.pdf" TargetMode="External"/><Relationship Id="rId424" Type="http://schemas.openxmlformats.org/officeDocument/2006/relationships/hyperlink" Target="https://www.nhc.noaa.gov/data/tcr/AL212020_Vicky.pdf" TargetMode="External"/><Relationship Id="rId631" Type="http://schemas.openxmlformats.org/officeDocument/2006/relationships/hyperlink" Target="https://www.nhc.noaa.gov/data/mwreview/1977.pdf" TargetMode="External"/><Relationship Id="rId729" Type="http://schemas.openxmlformats.org/officeDocument/2006/relationships/hyperlink" Target="https://www.nhc.noaa.gov/data/mwreview/1995.pdf" TargetMode="External"/><Relationship Id="rId270" Type="http://schemas.openxmlformats.org/officeDocument/2006/relationships/hyperlink" Target="https://www.nhc.noaa.gov/data/tcr/AL142010_Lisa.pdf" TargetMode="External"/><Relationship Id="rId65" Type="http://schemas.openxmlformats.org/officeDocument/2006/relationships/hyperlink" Target="https://www.nhc.noaa.gov/data/mwreview/1988.pdf" TargetMode="External"/><Relationship Id="rId130" Type="http://schemas.openxmlformats.org/officeDocument/2006/relationships/hyperlink" Target="https://www.nhc.noaa.gov/data/tcr/AL161999_Lenny.pdf" TargetMode="External"/><Relationship Id="rId368" Type="http://schemas.openxmlformats.org/officeDocument/2006/relationships/hyperlink" Target="https://www.nhc.noaa.gov/data/tcr/AL082017_Gert.pdf" TargetMode="External"/><Relationship Id="rId575" Type="http://schemas.openxmlformats.org/officeDocument/2006/relationships/hyperlink" Target="https://www.nhc.noaa.gov/data/mwreview/1994.pdf" TargetMode="External"/><Relationship Id="rId228" Type="http://schemas.openxmlformats.org/officeDocument/2006/relationships/hyperlink" Target="https://www.nhc.noaa.gov/data/tcr/AL112007_Jerry.pdf" TargetMode="External"/><Relationship Id="rId435" Type="http://schemas.openxmlformats.org/officeDocument/2006/relationships/hyperlink" Target="https://www.nhc.noaa.gov/data/tcr/AL042021_Danny.pdf" TargetMode="External"/><Relationship Id="rId642" Type="http://schemas.openxmlformats.org/officeDocument/2006/relationships/hyperlink" Target="https://www.nhc.noaa.gov/data/mwreview/1978.pdf" TargetMode="External"/><Relationship Id="rId281" Type="http://schemas.openxmlformats.org/officeDocument/2006/relationships/hyperlink" Target="https://www.nhc.noaa.gov/data/tcr/AL042011_Don.pdf" TargetMode="External"/><Relationship Id="rId502" Type="http://schemas.openxmlformats.org/officeDocument/2006/relationships/hyperlink" Target="https://www.nhc.noaa.gov/data/tcr/AL092022_Ian.pdf" TargetMode="External"/><Relationship Id="rId76" Type="http://schemas.openxmlformats.org/officeDocument/2006/relationships/hyperlink" Target="https://www.nhc.noaa.gov/data/mwreview/1990.pdf" TargetMode="External"/><Relationship Id="rId141" Type="http://schemas.openxmlformats.org/officeDocument/2006/relationships/hyperlink" Target="https://www.nhc.noaa.gov/data/tcr/AL172000_Michael.pdf" TargetMode="External"/><Relationship Id="rId379" Type="http://schemas.openxmlformats.org/officeDocument/2006/relationships/hyperlink" Target="https://www.nhc.noaa.gov/data/tcr/AL042018_Debby.pdf" TargetMode="External"/><Relationship Id="rId586" Type="http://schemas.openxmlformats.org/officeDocument/2006/relationships/hyperlink" Target="https://www.nhc.noaa.gov/data/tcr/AL062004_Frances.pdf" TargetMode="External"/><Relationship Id="rId7" Type="http://schemas.openxmlformats.org/officeDocument/2006/relationships/hyperlink" Target="https://www.nhc.noaa.gov/data/mwreview/1963.pdf" TargetMode="External"/><Relationship Id="rId239" Type="http://schemas.openxmlformats.org/officeDocument/2006/relationships/hyperlink" Target="https://www.nhc.noaa.gov/data/tcr/AL062008_Fay.pdf" TargetMode="External"/><Relationship Id="rId446" Type="http://schemas.openxmlformats.org/officeDocument/2006/relationships/hyperlink" Target="https://www.nhc.noaa.gov/data/tcr/AL192021_Teresa.pdf" TargetMode="External"/><Relationship Id="rId653" Type="http://schemas.openxmlformats.org/officeDocument/2006/relationships/hyperlink" Target="https://www.nhc.noaa.gov/data/mwreview/1980.pdf" TargetMode="External"/><Relationship Id="rId292" Type="http://schemas.openxmlformats.org/officeDocument/2006/relationships/hyperlink" Target="https://www.nhc.noaa.gov/data/tcr/AL172011_Philippe.pdf" TargetMode="External"/><Relationship Id="rId306" Type="http://schemas.openxmlformats.org/officeDocument/2006/relationships/hyperlink" Target="https://www.nhc.noaa.gov/data/tcr/AL132012_Michael.pdf" TargetMode="External"/><Relationship Id="rId87" Type="http://schemas.openxmlformats.org/officeDocument/2006/relationships/hyperlink" Target="https://www.nhc.noaa.gov/data/mwreview/1991.pdf" TargetMode="External"/><Relationship Id="rId513" Type="http://schemas.openxmlformats.org/officeDocument/2006/relationships/hyperlink" Target="https://www.nhc.noaa.gov/data/tcr/AL092021_Ida.pdf" TargetMode="External"/><Relationship Id="rId597" Type="http://schemas.openxmlformats.org/officeDocument/2006/relationships/hyperlink" Target="https://www.nhc.noaa.gov/data/mwreview/1969.pdf" TargetMode="External"/><Relationship Id="rId720" Type="http://schemas.openxmlformats.org/officeDocument/2006/relationships/hyperlink" Target="https://www.nhc.noaa.gov/data/mwreview/1994.pdf" TargetMode="External"/><Relationship Id="rId152" Type="http://schemas.openxmlformats.org/officeDocument/2006/relationships/hyperlink" Target="https://www.nhc.noaa.gov/data/tcr/AL152001_Michelle.pdf" TargetMode="External"/><Relationship Id="rId457" Type="http://schemas.openxmlformats.org/officeDocument/2006/relationships/hyperlink" Target="https://www.nhc.noaa.gov/data/tcr/AL112022_Eleven.pdf" TargetMode="External"/><Relationship Id="rId664" Type="http://schemas.openxmlformats.org/officeDocument/2006/relationships/hyperlink" Target="https://www.nhc.noaa.gov/data/mwreview/1981.pdf" TargetMode="External"/><Relationship Id="rId14" Type="http://schemas.openxmlformats.org/officeDocument/2006/relationships/hyperlink" Target="https://www.nhc.noaa.gov/data/mwreview/1966.pdf" TargetMode="External"/><Relationship Id="rId317" Type="http://schemas.openxmlformats.org/officeDocument/2006/relationships/hyperlink" Target="https://www.nhc.noaa.gov/data/tcr/AL062013_Fernand.pdf" TargetMode="External"/><Relationship Id="rId524" Type="http://schemas.openxmlformats.org/officeDocument/2006/relationships/hyperlink" Target="https://www.nhc.noaa.gov/data/tcr/AL292020_Eta.pdf" TargetMode="External"/><Relationship Id="rId731" Type="http://schemas.openxmlformats.org/officeDocument/2006/relationships/hyperlink" Target="https://www.nhc.noaa.gov/data/mwreview/1995.pdf" TargetMode="External"/><Relationship Id="rId98" Type="http://schemas.openxmlformats.org/officeDocument/2006/relationships/hyperlink" Target="https://www.nhc.noaa.gov/data/mwreview/1995.pdf" TargetMode="External"/><Relationship Id="rId163" Type="http://schemas.openxmlformats.org/officeDocument/2006/relationships/hyperlink" Target="https://www.nhc.noaa.gov/data/tcr/AL122002_Kyle.pdf" TargetMode="External"/><Relationship Id="rId370" Type="http://schemas.openxmlformats.org/officeDocument/2006/relationships/hyperlink" Target="https://www.nhc.noaa.gov/data/tcr/AL132017_Katia.pdf" TargetMode="External"/><Relationship Id="rId230" Type="http://schemas.openxmlformats.org/officeDocument/2006/relationships/hyperlink" Target="https://www.nhc.noaa.gov/data/tcr/AL132007_Lorenzo.pdf" TargetMode="External"/><Relationship Id="rId468" Type="http://schemas.openxmlformats.org/officeDocument/2006/relationships/hyperlink" Target="https://www.nhc.noaa.gov/data/tcr/AL062023_Gert.pdf" TargetMode="External"/><Relationship Id="rId675" Type="http://schemas.openxmlformats.org/officeDocument/2006/relationships/hyperlink" Target="https://www.nhc.noaa.gov/data/mwreview/1982.pdf" TargetMode="External"/><Relationship Id="rId25" Type="http://schemas.openxmlformats.org/officeDocument/2006/relationships/hyperlink" Target="https://www.nhc.noaa.gov/data/mwreview/1967.pdf" TargetMode="External"/><Relationship Id="rId328" Type="http://schemas.openxmlformats.org/officeDocument/2006/relationships/hyperlink" Target="https://www.nhc.noaa.gov/data/tcr/AL032014_Bertha.pdf" TargetMode="External"/><Relationship Id="rId535" Type="http://schemas.openxmlformats.org/officeDocument/2006/relationships/hyperlink" Target="https://www.nhc.noaa.gov/data/mwreview/1975.pdf" TargetMode="External"/><Relationship Id="rId742" Type="http://schemas.openxmlformats.org/officeDocument/2006/relationships/hyperlink" Target="https://www.nhc.noaa.gov/data/tcr/AL132002_Lili.pdf" TargetMode="External"/><Relationship Id="rId174" Type="http://schemas.openxmlformats.org/officeDocument/2006/relationships/hyperlink" Target="https://www.nhc.noaa.gov/data/tcr/AL192003_Nicholas.pdf" TargetMode="External"/><Relationship Id="rId381" Type="http://schemas.openxmlformats.org/officeDocument/2006/relationships/hyperlink" Target="https://www.nhc.noaa.gov/data/tcr/AL072018_Gordon.pdf" TargetMode="External"/><Relationship Id="rId602" Type="http://schemas.openxmlformats.org/officeDocument/2006/relationships/hyperlink" Target="https://www.nhc.noaa.gov/data/mwreview/1969.pdf" TargetMode="External"/><Relationship Id="rId241" Type="http://schemas.openxmlformats.org/officeDocument/2006/relationships/hyperlink" Target="https://www.nhc.noaa.gov/data/tcr/AL112008_Kyle.pdf" TargetMode="External"/><Relationship Id="rId479" Type="http://schemas.openxmlformats.org/officeDocument/2006/relationships/hyperlink" Target="https://www.nhc.noaa.gov/data/tcr/AL182023_Rina.pdf" TargetMode="External"/><Relationship Id="rId686" Type="http://schemas.openxmlformats.org/officeDocument/2006/relationships/hyperlink" Target="https://www.nhc.noaa.gov/data/mwreview/1984.pdf" TargetMode="External"/><Relationship Id="rId36" Type="http://schemas.openxmlformats.org/officeDocument/2006/relationships/hyperlink" Target="https://www.nhc.noaa.gov/data/mwreview/1971.pdf" TargetMode="External"/><Relationship Id="rId339" Type="http://schemas.openxmlformats.org/officeDocument/2006/relationships/hyperlink" Target="https://www.nhc.noaa.gov/data/tcr/AL052015_Erika.pdf" TargetMode="External"/><Relationship Id="rId546" Type="http://schemas.openxmlformats.org/officeDocument/2006/relationships/hyperlink" Target="https://www.nhc.noaa.gov/data/mwreview/1986.pdf" TargetMode="External"/><Relationship Id="rId753" Type="http://schemas.openxmlformats.org/officeDocument/2006/relationships/hyperlink" Target="https://www.nhc.noaa.gov/data/tcr/AL092007_Humberto.pdf" TargetMode="External"/><Relationship Id="rId101" Type="http://schemas.openxmlformats.org/officeDocument/2006/relationships/hyperlink" Target="https://www.nhc.noaa.gov/data/tcr/AL031996_Cesar.pdf" TargetMode="External"/><Relationship Id="rId185" Type="http://schemas.openxmlformats.org/officeDocument/2006/relationships/hyperlink" Target="https://www.nhc.noaa.gov/data/tcr/AL152004_Nicole.pdf" TargetMode="External"/><Relationship Id="rId406" Type="http://schemas.openxmlformats.org/officeDocument/2006/relationships/hyperlink" Target="https://www.nhc.noaa.gov/data/tcr/AL192019_Rebekah.pdf" TargetMode="External"/><Relationship Id="rId392" Type="http://schemas.openxmlformats.org/officeDocument/2006/relationships/hyperlink" Target="https://www.nhc.noaa.gov/data/tcr/AL032019_Three.pdf" TargetMode="External"/><Relationship Id="rId613" Type="http://schemas.openxmlformats.org/officeDocument/2006/relationships/hyperlink" Target="https://www.nhc.noaa.gov/data/mwreview/1974.pdf" TargetMode="External"/><Relationship Id="rId697" Type="http://schemas.openxmlformats.org/officeDocument/2006/relationships/hyperlink" Target="https://www.nhc.noaa.gov/data/mwreview/1986.pdf" TargetMode="External"/><Relationship Id="rId252" Type="http://schemas.openxmlformats.org/officeDocument/2006/relationships/hyperlink" Target="https://www.nhc.noaa.gov/data/tcr/AL052009_Danny.pdf" TargetMode="External"/><Relationship Id="rId47" Type="http://schemas.openxmlformats.org/officeDocument/2006/relationships/hyperlink" Target="https://www.nhc.noaa.gov/data/mwreview/1973.pdf" TargetMode="External"/><Relationship Id="rId112" Type="http://schemas.openxmlformats.org/officeDocument/2006/relationships/hyperlink" Target="https://www.nhc.noaa.gov/data/tcr/AL041997_Claudette.pdf" TargetMode="External"/><Relationship Id="rId557" Type="http://schemas.openxmlformats.org/officeDocument/2006/relationships/hyperlink" Target="https://www.nhc.noaa.gov/data/tcr/AL101999_Harvey.pdf" TargetMode="External"/><Relationship Id="rId196" Type="http://schemas.openxmlformats.org/officeDocument/2006/relationships/hyperlink" Target="https://www.nhc.noaa.gov/data/tcr/AL132005_Lee.pdf" TargetMode="External"/><Relationship Id="rId417" Type="http://schemas.openxmlformats.org/officeDocument/2006/relationships/hyperlink" Target="https://www.nhc.noaa.gov/data/tcr/AL122020_Kyle.pdf" TargetMode="External"/><Relationship Id="rId624" Type="http://schemas.openxmlformats.org/officeDocument/2006/relationships/hyperlink" Target="https://www.nhc.noaa.gov/data/mwreview/1976.pdf" TargetMode="External"/><Relationship Id="rId263" Type="http://schemas.openxmlformats.org/officeDocument/2006/relationships/hyperlink" Target="https://www.nhc.noaa.gov/data/tcr/AL052010_Five.pdf" TargetMode="External"/><Relationship Id="rId470" Type="http://schemas.openxmlformats.org/officeDocument/2006/relationships/hyperlink" Target="https://www.nhc.noaa.gov/data/tcr/AL082023_Franklin.pdf" TargetMode="External"/><Relationship Id="rId58" Type="http://schemas.openxmlformats.org/officeDocument/2006/relationships/hyperlink" Target="https://www.nhc.noaa.gov/data/mwreview/1987.pdf" TargetMode="External"/><Relationship Id="rId123" Type="http://schemas.openxmlformats.org/officeDocument/2006/relationships/hyperlink" Target="https://www.nhc.noaa.gov/data/tcr/AL141998_Nicole.pdf" TargetMode="External"/><Relationship Id="rId330" Type="http://schemas.openxmlformats.org/officeDocument/2006/relationships/hyperlink" Target="https://www.nhc.noaa.gov/data/tcr/AL052014_Dolly.pdf" TargetMode="External"/><Relationship Id="rId568" Type="http://schemas.openxmlformats.org/officeDocument/2006/relationships/hyperlink" Target="https://www.nhc.noaa.gov/data/mwreview/1979.pdf" TargetMode="External"/><Relationship Id="rId428" Type="http://schemas.openxmlformats.org/officeDocument/2006/relationships/hyperlink" Target="https://www.nhc.noaa.gov/data/tcr/AL252020_Gamma.pdf" TargetMode="External"/><Relationship Id="rId635" Type="http://schemas.openxmlformats.org/officeDocument/2006/relationships/hyperlink" Target="https://www.nhc.noaa.gov/data/mwreview/1977.pdf" TargetMode="External"/><Relationship Id="rId274" Type="http://schemas.openxmlformats.org/officeDocument/2006/relationships/hyperlink" Target="https://www.nhc.noaa.gov/data/tcr/AL182010_Paula.pdf" TargetMode="External"/><Relationship Id="rId481" Type="http://schemas.openxmlformats.org/officeDocument/2006/relationships/hyperlink" Target="https://www.nhc.noaa.gov/data/tcr/AL202023_Tammy.pdf" TargetMode="External"/><Relationship Id="rId702" Type="http://schemas.openxmlformats.org/officeDocument/2006/relationships/hyperlink" Target="https://www.nhc.noaa.gov/data/mwreview/1989.pdf" TargetMode="External"/><Relationship Id="rId69" Type="http://schemas.openxmlformats.org/officeDocument/2006/relationships/hyperlink" Target="https://www.nhc.noaa.gov/data/mwreview/1988.pdf" TargetMode="External"/><Relationship Id="rId134" Type="http://schemas.openxmlformats.org/officeDocument/2006/relationships/hyperlink" Target="https://www.nhc.noaa.gov/data/tcr/AL072000_Debby.pdf" TargetMode="External"/><Relationship Id="rId579" Type="http://schemas.openxmlformats.org/officeDocument/2006/relationships/hyperlink" Target="https://www.nhc.noaa.gov/data/tcr/AL031998_Charley.pdf" TargetMode="External"/><Relationship Id="rId341" Type="http://schemas.openxmlformats.org/officeDocument/2006/relationships/hyperlink" Target="https://www.nhc.noaa.gov/data/tcr/AL072015_Grace.pdf" TargetMode="External"/><Relationship Id="rId439" Type="http://schemas.openxmlformats.org/officeDocument/2006/relationships/hyperlink" Target="https://www.nhc.noaa.gov/data/tcr/AL112021_Julian.pdf" TargetMode="External"/><Relationship Id="rId646" Type="http://schemas.openxmlformats.org/officeDocument/2006/relationships/hyperlink" Target="https://www.nhc.noaa.gov/data/mwreview/1979.pdf" TargetMode="External"/><Relationship Id="rId201" Type="http://schemas.openxmlformats.org/officeDocument/2006/relationships/hyperlink" Target="https://www.nhc.noaa.gov/data/tcr/AL202005_Stan.pdf" TargetMode="External"/><Relationship Id="rId285" Type="http://schemas.openxmlformats.org/officeDocument/2006/relationships/hyperlink" Target="https://www.nhc.noaa.gov/data/tcr/AL082011_Harvey.pdf" TargetMode="External"/><Relationship Id="rId506" Type="http://schemas.openxmlformats.org/officeDocument/2006/relationships/hyperlink" Target="https://www.nhc.noaa.gov/data/tcr/AL192020_Sally.pdf" TargetMode="External"/><Relationship Id="rId492" Type="http://schemas.openxmlformats.org/officeDocument/2006/relationships/hyperlink" Target="https://www.nhc.noaa.gov/data/tcr/AL132024_Leslie.pdf" TargetMode="External"/><Relationship Id="rId713" Type="http://schemas.openxmlformats.org/officeDocument/2006/relationships/hyperlink" Target="https://www.nhc.noaa.gov/data/mwreview/1993.pdf" TargetMode="External"/><Relationship Id="rId145" Type="http://schemas.openxmlformats.org/officeDocument/2006/relationships/hyperlink" Target="https://www.nhc.noaa.gov/data/tcr/AL062001_Erin.pdf" TargetMode="External"/><Relationship Id="rId352" Type="http://schemas.openxmlformats.org/officeDocument/2006/relationships/hyperlink" Target="https://www.nhc.noaa.gov/data/tcr/AL062016_Fiona.pdf" TargetMode="External"/><Relationship Id="rId212" Type="http://schemas.openxmlformats.org/officeDocument/2006/relationships/hyperlink" Target="https://www.nhc.noaa.gov/data/tcr/AL032006_Beryl.pdf" TargetMode="External"/><Relationship Id="rId657" Type="http://schemas.openxmlformats.org/officeDocument/2006/relationships/hyperlink" Target="https://www.nhc.noaa.gov/data/mwreview/1980.pdf" TargetMode="External"/><Relationship Id="rId296" Type="http://schemas.openxmlformats.org/officeDocument/2006/relationships/hyperlink" Target="https://www.nhc.noaa.gov/data/tcr/AL022012_Beryl.pdf" TargetMode="External"/><Relationship Id="rId517" Type="http://schemas.openxmlformats.org/officeDocument/2006/relationships/hyperlink" Target="https://www.nhc.noaa.gov/data/mwreview/1989.pdf" TargetMode="External"/><Relationship Id="rId724" Type="http://schemas.openxmlformats.org/officeDocument/2006/relationships/hyperlink" Target="https://www.nhc.noaa.gov/data/mwreview/1995.pdf" TargetMode="External"/><Relationship Id="rId60" Type="http://schemas.openxmlformats.org/officeDocument/2006/relationships/hyperlink" Target="https://www.nhc.noaa.gov/data/mwreview/1987.pdf" TargetMode="External"/><Relationship Id="rId156" Type="http://schemas.openxmlformats.org/officeDocument/2006/relationships/hyperlink" Target="https://www.nhc.noaa.gov/data/tcr/AL022002_Bertha.pdf" TargetMode="External"/><Relationship Id="rId363" Type="http://schemas.openxmlformats.org/officeDocument/2006/relationships/hyperlink" Target="https://www.nhc.noaa.gov/data/tcr/AL032017_Cindy.pdf" TargetMode="External"/><Relationship Id="rId570" Type="http://schemas.openxmlformats.org/officeDocument/2006/relationships/hyperlink" Target="https://journals.ametsoc.org/view/journals/bams/81/9/1520-0477_2000_081_2065_lolitu_2_3_co_2.xml?tab_body=pdf" TargetMode="External"/><Relationship Id="rId223" Type="http://schemas.openxmlformats.org/officeDocument/2006/relationships/hyperlink" Target="https://www.nhc.noaa.gov/data/tcr/AL052007_Erin.pdf" TargetMode="External"/><Relationship Id="rId430" Type="http://schemas.openxmlformats.org/officeDocument/2006/relationships/hyperlink" Target="https://www.nhc.noaa.gov/data/tcr/AL302020_Theta.pdf" TargetMode="External"/><Relationship Id="rId668" Type="http://schemas.openxmlformats.org/officeDocument/2006/relationships/hyperlink" Target="https://www.nhc.noaa.gov/data/mwreview/1981.pdf" TargetMode="External"/><Relationship Id="rId18" Type="http://schemas.openxmlformats.org/officeDocument/2006/relationships/hyperlink" Target="https://www.nhc.noaa.gov/data/mwreview/1966.pdf" TargetMode="External"/><Relationship Id="rId528" Type="http://schemas.openxmlformats.org/officeDocument/2006/relationships/hyperlink" Target="https://www.nhc.noaa.gov/data/tcr/AL082020_Hanna.pdf" TargetMode="External"/><Relationship Id="rId735" Type="http://schemas.openxmlformats.org/officeDocument/2006/relationships/hyperlink" Target="https://www.nhc.noaa.gov/data/tcr/AL112000_Gordon.pdf,%20https:/journals.ametsoc.org/view/journals/bams/81/9/1520-0477_2000_081_2065_lolitu_2_3_co_2.xml?tab_body=pdf" TargetMode="External"/><Relationship Id="rId167" Type="http://schemas.openxmlformats.org/officeDocument/2006/relationships/hyperlink" Target="https://www.nhc.noaa.gov/data/tcr/AL102003_Fabian.pdf" TargetMode="External"/><Relationship Id="rId374" Type="http://schemas.openxmlformats.org/officeDocument/2006/relationships/hyperlink" Target="https://www.nhc.noaa.gov/data/tcr/AL182017_Philippe.pdf" TargetMode="External"/><Relationship Id="rId581" Type="http://schemas.openxmlformats.org/officeDocument/2006/relationships/hyperlink" Target="https://www.nhc.noaa.gov/data/tcr/AL122005_Katrina.pdf" TargetMode="External"/><Relationship Id="rId71" Type="http://schemas.openxmlformats.org/officeDocument/2006/relationships/hyperlink" Target="https://www.nhc.noaa.gov/data/mwreview/1990.pdf" TargetMode="External"/><Relationship Id="rId234" Type="http://schemas.openxmlformats.org/officeDocument/2006/relationships/hyperlink" Target="https://www.nhc.noaa.gov/data/tcr/AL172007_Olga.pdf" TargetMode="External"/><Relationship Id="rId679" Type="http://schemas.openxmlformats.org/officeDocument/2006/relationships/hyperlink" Target="https://www.nhc.noaa.gov/data/mwreview/1984.pdf" TargetMode="External"/><Relationship Id="rId2" Type="http://schemas.openxmlformats.org/officeDocument/2006/relationships/hyperlink" Target="https://www.nhc.noaa.gov/data/mwreview/1963.pdf" TargetMode="External"/><Relationship Id="rId29" Type="http://schemas.openxmlformats.org/officeDocument/2006/relationships/hyperlink" Target="https://www.aoml.noaa.gov/general/lib/lib1/nhclib/mwreviews/1968.pdf" TargetMode="External"/><Relationship Id="rId441" Type="http://schemas.openxmlformats.org/officeDocument/2006/relationships/hyperlink" Target="https://www.nhc.noaa.gov/data/tcr/AL132021_Mindy.pdf" TargetMode="External"/><Relationship Id="rId539" Type="http://schemas.openxmlformats.org/officeDocument/2006/relationships/hyperlink" Target="https://www.nhc.noaa.gov/data/mwreview/1964.pdf" TargetMode="External"/><Relationship Id="rId746" Type="http://schemas.openxmlformats.org/officeDocument/2006/relationships/hyperlink" Target="https://www.nhc.noaa.gov/data/tcr/AL092004_Ivan.pdf" TargetMode="External"/><Relationship Id="rId178" Type="http://schemas.openxmlformats.org/officeDocument/2006/relationships/hyperlink" Target="https://www.nhc.noaa.gov/data/tcr/AL022004_Bonnie.pdf" TargetMode="External"/><Relationship Id="rId301" Type="http://schemas.openxmlformats.org/officeDocument/2006/relationships/hyperlink" Target="https://www.nhc.noaa.gov/data/tcr/AL072012_Helene.pdf" TargetMode="External"/><Relationship Id="rId82" Type="http://schemas.openxmlformats.org/officeDocument/2006/relationships/hyperlink" Target="https://www.nhc.noaa.gov/data/mwreview/1990.pdf" TargetMode="External"/><Relationship Id="rId385" Type="http://schemas.openxmlformats.org/officeDocument/2006/relationships/hyperlink" Target="https://www.nhc.noaa.gov/data/tcr/AL112018_Eleven.pdf" TargetMode="External"/><Relationship Id="rId592" Type="http://schemas.openxmlformats.org/officeDocument/2006/relationships/hyperlink" Target="https://www.nhc.noaa.gov/data/mwreview/1965.pdf" TargetMode="External"/><Relationship Id="rId606" Type="http://schemas.openxmlformats.org/officeDocument/2006/relationships/hyperlink" Target="https://www.nhc.noaa.gov/data/mwreview/1970.pdf" TargetMode="External"/><Relationship Id="rId245" Type="http://schemas.openxmlformats.org/officeDocument/2006/relationships/hyperlink" Target="https://www.nhc.noaa.gov/data/tcr/AL152008_Omar.pdf" TargetMode="External"/><Relationship Id="rId452" Type="http://schemas.openxmlformats.org/officeDocument/2006/relationships/hyperlink" Target="https://www.nhc.noaa.gov/data/tcr/AL052022_Danielle.pdf" TargetMode="External"/><Relationship Id="rId105" Type="http://schemas.openxmlformats.org/officeDocument/2006/relationships/hyperlink" Target="https://www.nhc.noaa.gov/data/tcr/AL081996_Hortense.pdf" TargetMode="External"/><Relationship Id="rId312" Type="http://schemas.openxmlformats.org/officeDocument/2006/relationships/hyperlink" Target="https://www.nhc.noaa.gov/data/tcr/AL012013_Andrea.pdf" TargetMode="External"/><Relationship Id="rId757" Type="http://schemas.openxmlformats.org/officeDocument/2006/relationships/hyperlink" Target="https://www.nhc.noaa.gov/data/tcr/AL092016_Hermine.pdf" TargetMode="External"/><Relationship Id="rId93" Type="http://schemas.openxmlformats.org/officeDocument/2006/relationships/hyperlink" Target="https://www.nhc.noaa.gov/data/mwreview/1992.pdf" TargetMode="External"/><Relationship Id="rId189" Type="http://schemas.openxmlformats.org/officeDocument/2006/relationships/hyperlink" Target="https://www.nhc.noaa.gov/data/tcr/AL052005_Emily.pdf" TargetMode="External"/><Relationship Id="rId396" Type="http://schemas.openxmlformats.org/officeDocument/2006/relationships/hyperlink" Target="https://www.nhc.noaa.gov/data/tcr/AL082019_Gabrielle.pdf" TargetMode="External"/><Relationship Id="rId617" Type="http://schemas.openxmlformats.org/officeDocument/2006/relationships/hyperlink" Target="https://www.nhc.noaa.gov/data/mwreview/1974.pdf" TargetMode="External"/><Relationship Id="rId256" Type="http://schemas.openxmlformats.org/officeDocument/2006/relationships/hyperlink" Target="https://www.nhc.noaa.gov/data/tcr/AL092009_Grace.pdf" TargetMode="External"/><Relationship Id="rId463" Type="http://schemas.openxmlformats.org/officeDocument/2006/relationships/hyperlink" Target="https://www.nhc.noaa.gov/data/tcr/AL172022_Nicole.pdf" TargetMode="External"/><Relationship Id="rId670" Type="http://schemas.openxmlformats.org/officeDocument/2006/relationships/hyperlink" Target="https://www.nhc.noaa.gov/data/mwreview/1981.pdf" TargetMode="External"/><Relationship Id="rId116" Type="http://schemas.openxmlformats.org/officeDocument/2006/relationships/hyperlink" Target="https://www.nhc.noaa.gov/data/tcr/AL011998_Alex.pdf" TargetMode="External"/><Relationship Id="rId323" Type="http://schemas.openxmlformats.org/officeDocument/2006/relationships/hyperlink" Target="https://www.nhc.noaa.gov/data/tcr/AL122013_Karen.pdf" TargetMode="External"/><Relationship Id="rId530" Type="http://schemas.openxmlformats.org/officeDocument/2006/relationships/hyperlink" Target="https://www.nhc.noaa.gov/data/tcr/AL052019_Dorian.pdf" TargetMode="External"/><Relationship Id="rId20" Type="http://schemas.openxmlformats.org/officeDocument/2006/relationships/hyperlink" Target="https://www.nhc.noaa.gov/data/mwreview/1966.pdf" TargetMode="External"/><Relationship Id="rId628" Type="http://schemas.openxmlformats.org/officeDocument/2006/relationships/hyperlink" Target="https://www.nhc.noaa.gov/data/mwreview/1976.pdf" TargetMode="External"/><Relationship Id="rId267" Type="http://schemas.openxmlformats.org/officeDocument/2006/relationships/hyperlink" Target="https://www.nhc.noaa.gov/data/tcr/AL112010_Igor.pdf" TargetMode="External"/><Relationship Id="rId474" Type="http://schemas.openxmlformats.org/officeDocument/2006/relationships/hyperlink" Target="https://www.nhc.noaa.gov/data/tcr/AL132023_Lee.pdf" TargetMode="External"/><Relationship Id="rId127" Type="http://schemas.openxmlformats.org/officeDocument/2006/relationships/hyperlink" Target="https://www.nhc.noaa.gov/data/tcr/AL091999_Gert.pdf" TargetMode="External"/><Relationship Id="rId681" Type="http://schemas.openxmlformats.org/officeDocument/2006/relationships/hyperlink" Target="https://www.nhc.noaa.gov/data/mwreview/1984.pdf" TargetMode="External"/><Relationship Id="rId31" Type="http://schemas.openxmlformats.org/officeDocument/2006/relationships/hyperlink" Target="https://www.aoml.noaa.gov/general/lib/lib1/nhclib/mwreviews/1968.pdf" TargetMode="External"/><Relationship Id="rId334" Type="http://schemas.openxmlformats.org/officeDocument/2006/relationships/hyperlink" Target="https://www.nhc.noaa.gov/data/tcr/AL092014_Hanna.pdf" TargetMode="External"/><Relationship Id="rId541" Type="http://schemas.openxmlformats.org/officeDocument/2006/relationships/hyperlink" Target="https://www.nhc.noaa.gov/data/mwreview/1980.pdf" TargetMode="External"/><Relationship Id="rId639" Type="http://schemas.openxmlformats.org/officeDocument/2006/relationships/hyperlink" Target="https://www.nhc.noaa.gov/data/mwreview/1978.pdf" TargetMode="External"/><Relationship Id="rId4" Type="http://schemas.openxmlformats.org/officeDocument/2006/relationships/hyperlink" Target="https://www.nhc.noaa.gov/data/mwreview/1963.pdf" TargetMode="External"/><Relationship Id="rId180" Type="http://schemas.openxmlformats.org/officeDocument/2006/relationships/hyperlink" Target="https://www.nhc.noaa.gov/data/tcr/AL052004_Earl.pdf" TargetMode="External"/><Relationship Id="rId236" Type="http://schemas.openxmlformats.org/officeDocument/2006/relationships/hyperlink" Target="https://www.nhc.noaa.gov/data/tcr/AL022008_Bertha.pdf" TargetMode="External"/><Relationship Id="rId278" Type="http://schemas.openxmlformats.org/officeDocument/2006/relationships/hyperlink" Target="https://www.nhc.noaa.gov/data/tcr/AL012011_Arlene.pdf" TargetMode="External"/><Relationship Id="rId401" Type="http://schemas.openxmlformats.org/officeDocument/2006/relationships/hyperlink" Target="https://www.nhc.noaa.gov/data/tcr/AL142019_Melissa.pdf" TargetMode="External"/><Relationship Id="rId443" Type="http://schemas.openxmlformats.org/officeDocument/2006/relationships/hyperlink" Target="https://www.nhc.noaa.gov/data/tcr/AL162021_Peter.pdf" TargetMode="External"/><Relationship Id="rId650" Type="http://schemas.openxmlformats.org/officeDocument/2006/relationships/hyperlink" Target="https://www.nhc.noaa.gov/data/mwreview/1979.pdf" TargetMode="External"/><Relationship Id="rId303" Type="http://schemas.openxmlformats.org/officeDocument/2006/relationships/hyperlink" Target="https://www.nhc.noaa.gov/data/tcr/AL102012_Joyce.pdf" TargetMode="External"/><Relationship Id="rId485" Type="http://schemas.openxmlformats.org/officeDocument/2006/relationships/hyperlink" Target="https://www.nhc.noaa.gov/data/tcr/AL052024_Ernesto.pdf" TargetMode="External"/><Relationship Id="rId692" Type="http://schemas.openxmlformats.org/officeDocument/2006/relationships/hyperlink" Target="https://www.nhc.noaa.gov/data/mwreview/1985.pdf" TargetMode="External"/><Relationship Id="rId706" Type="http://schemas.openxmlformats.org/officeDocument/2006/relationships/hyperlink" Target="https://www.nhc.noaa.gov/data/mwreview/1989.pdf" TargetMode="External"/><Relationship Id="rId748" Type="http://schemas.openxmlformats.org/officeDocument/2006/relationships/hyperlink" Target="https://www.nhc.noaa.gov/data/tcr/AL032005_Cindy.pdf" TargetMode="External"/><Relationship Id="rId42" Type="http://schemas.openxmlformats.org/officeDocument/2006/relationships/hyperlink" Target="https://www.nhc.noaa.gov/data/mwreview/1971.pdf" TargetMode="External"/><Relationship Id="rId84" Type="http://schemas.openxmlformats.org/officeDocument/2006/relationships/hyperlink" Target="https://www.nhc.noaa.gov/data/mwreview/1991.pdf" TargetMode="External"/><Relationship Id="rId138" Type="http://schemas.openxmlformats.org/officeDocument/2006/relationships/hyperlink" Target="https://www.nhc.noaa.gov/data/tcr/AL142000_Joyce.pdf" TargetMode="External"/><Relationship Id="rId345" Type="http://schemas.openxmlformats.org/officeDocument/2006/relationships/hyperlink" Target="https://www.nhc.noaa.gov/data/tcr/AL112015_Joaquin.pdf" TargetMode="External"/><Relationship Id="rId387" Type="http://schemas.openxmlformats.org/officeDocument/2006/relationships/hyperlink" Target="https://www.nhc.noaa.gov/data/tcr/AL132018_Leslie.pdf" TargetMode="External"/><Relationship Id="rId510" Type="http://schemas.openxmlformats.org/officeDocument/2006/relationships/hyperlink" Target="https://www.nhc.noaa.gov/data/mwreview/1963.pdf" TargetMode="External"/><Relationship Id="rId552" Type="http://schemas.openxmlformats.org/officeDocument/2006/relationships/hyperlink" Target="https://www.nhc.noaa.gov/data/tcr/AL021998_Bonnie.pdf" TargetMode="External"/><Relationship Id="rId594" Type="http://schemas.openxmlformats.org/officeDocument/2006/relationships/hyperlink" Target="https://www.nhc.noaa.gov/data/mwreview/1969.pdf" TargetMode="External"/><Relationship Id="rId608" Type="http://schemas.openxmlformats.org/officeDocument/2006/relationships/hyperlink" Target="https://www.nhc.noaa.gov/data/mwreview/1971.pdf" TargetMode="External"/><Relationship Id="rId191" Type="http://schemas.openxmlformats.org/officeDocument/2006/relationships/hyperlink" Target="https://www.nhc.noaa.gov/data/tcr/AL072005_Gert.pdf" TargetMode="External"/><Relationship Id="rId205" Type="http://schemas.openxmlformats.org/officeDocument/2006/relationships/hyperlink" Target="https://www.nhc.noaa.gov/data/tcr/AL262005_Alpha.pdf" TargetMode="External"/><Relationship Id="rId247" Type="http://schemas.openxmlformats.org/officeDocument/2006/relationships/hyperlink" Target="https://www.nhc.noaa.gov/data/tcr/AL172008_Paloma.pdf" TargetMode="External"/><Relationship Id="rId412" Type="http://schemas.openxmlformats.org/officeDocument/2006/relationships/hyperlink" Target="https://www.nhc.noaa.gov/data/tcr/AL052020_Edouard.pdf" TargetMode="External"/><Relationship Id="rId107" Type="http://schemas.openxmlformats.org/officeDocument/2006/relationships/hyperlink" Target="https://www.nhc.noaa.gov/data/tcr/AL111996_Kyle.pdf" TargetMode="External"/><Relationship Id="rId289" Type="http://schemas.openxmlformats.org/officeDocument/2006/relationships/hyperlink" Target="https://www.nhc.noaa.gov/data/tcr/AL142011_Maria.pdf" TargetMode="External"/><Relationship Id="rId454" Type="http://schemas.openxmlformats.org/officeDocument/2006/relationships/hyperlink" Target="https://www.nhc.noaa.gov/data/tcr/AL072022_Fiona.pdf" TargetMode="External"/><Relationship Id="rId496" Type="http://schemas.openxmlformats.org/officeDocument/2006/relationships/hyperlink" Target="https://www.nhc.noaa.gov/data/tcr/AL172024_Patty.pdf" TargetMode="External"/><Relationship Id="rId661" Type="http://schemas.openxmlformats.org/officeDocument/2006/relationships/hyperlink" Target="https://www.nhc.noaa.gov/data/mwreview/1981.pdf" TargetMode="External"/><Relationship Id="rId717" Type="http://schemas.openxmlformats.org/officeDocument/2006/relationships/hyperlink" Target="https://www.nhc.noaa.gov/data/mwreview/1994.pdf" TargetMode="External"/><Relationship Id="rId759" Type="http://schemas.openxmlformats.org/officeDocument/2006/relationships/hyperlink" Target="https://www.nhc.noaa.gov/data/tcr/AL112017_Irma.pdf" TargetMode="External"/><Relationship Id="rId11" Type="http://schemas.openxmlformats.org/officeDocument/2006/relationships/hyperlink" Target="https://www.nhc.noaa.gov/data/mwreview/1966.pdf" TargetMode="External"/><Relationship Id="rId53" Type="http://schemas.openxmlformats.org/officeDocument/2006/relationships/hyperlink" Target="https://www.nhc.noaa.gov/data/mwreview/1985.pdf" TargetMode="External"/><Relationship Id="rId149" Type="http://schemas.openxmlformats.org/officeDocument/2006/relationships/hyperlink" Target="https://www.nhc.noaa.gov/data/tcr/AL122001_Jerry.pdf" TargetMode="External"/><Relationship Id="rId314" Type="http://schemas.openxmlformats.org/officeDocument/2006/relationships/hyperlink" Target="https://www.nhc.noaa.gov/data/tcr/AL032013_Chantal.pdf" TargetMode="External"/><Relationship Id="rId356" Type="http://schemas.openxmlformats.org/officeDocument/2006/relationships/hyperlink" Target="https://www.nhc.noaa.gov/data/tcr/AL112016_Julia.pdf" TargetMode="External"/><Relationship Id="rId398" Type="http://schemas.openxmlformats.org/officeDocument/2006/relationships/hyperlink" Target="https://www.nhc.noaa.gov/data/tcr/AL102019_Jerry.pdf" TargetMode="External"/><Relationship Id="rId521" Type="http://schemas.openxmlformats.org/officeDocument/2006/relationships/hyperlink" Target="https://www.nhc.noaa.gov/data/tcr/AL132011_Lee.pdf" TargetMode="External"/><Relationship Id="rId563" Type="http://schemas.openxmlformats.org/officeDocument/2006/relationships/hyperlink" Target="https://lsu.ent.sirsi.net/client/en_US/lsu/search/detailnonmodal/ent:$002f$002fSD_LSU$002f0$002fSD_LSU:3472537/one" TargetMode="External"/><Relationship Id="rId619" Type="http://schemas.openxmlformats.org/officeDocument/2006/relationships/hyperlink" Target="https://www.nhc.noaa.gov/data/mwreview/1975.pdf" TargetMode="External"/><Relationship Id="rId95" Type="http://schemas.openxmlformats.org/officeDocument/2006/relationships/hyperlink" Target="https://www.nhc.noaa.gov/data/mwreview/1994.pdf" TargetMode="External"/><Relationship Id="rId160" Type="http://schemas.openxmlformats.org/officeDocument/2006/relationships/hyperlink" Target="https://www.nhc.noaa.gov/data/tcr/AL062002_Fay.pdf" TargetMode="External"/><Relationship Id="rId216" Type="http://schemas.openxmlformats.org/officeDocument/2006/relationships/hyperlink" Target="https://www.nhc.noaa.gov/data/tcr/AL082006_Gordon.pdf" TargetMode="External"/><Relationship Id="rId423" Type="http://schemas.openxmlformats.org/officeDocument/2006/relationships/hyperlink" Target="https://www.nhc.noaa.gov/data/tcr/AL202020_Teddy.pdf" TargetMode="External"/><Relationship Id="rId258" Type="http://schemas.openxmlformats.org/officeDocument/2006/relationships/hyperlink" Target="https://www.nhc.noaa.gov/data/tcr/AL112009_Ida.pdf" TargetMode="External"/><Relationship Id="rId465" Type="http://schemas.openxmlformats.org/officeDocument/2006/relationships/hyperlink" Target="https://www.nhc.noaa.gov/data/tcr/AL032023_Bret.pdf" TargetMode="External"/><Relationship Id="rId630" Type="http://schemas.openxmlformats.org/officeDocument/2006/relationships/hyperlink" Target="https://www.nhc.noaa.gov/data/mwreview/1976.pdf" TargetMode="External"/><Relationship Id="rId672" Type="http://schemas.openxmlformats.org/officeDocument/2006/relationships/hyperlink" Target="https://www.nhc.noaa.gov/data/mwreview/1982.pdf" TargetMode="External"/><Relationship Id="rId728" Type="http://schemas.openxmlformats.org/officeDocument/2006/relationships/hyperlink" Target="https://www.nhc.noaa.gov/data/tcr/AL171995_Opal.pdf" TargetMode="External"/><Relationship Id="rId22" Type="http://schemas.openxmlformats.org/officeDocument/2006/relationships/hyperlink" Target="https://www.nhc.noaa.gov/data/mwreview/1967.pdf" TargetMode="External"/><Relationship Id="rId64" Type="http://schemas.openxmlformats.org/officeDocument/2006/relationships/hyperlink" Target="https://www.nhc.noaa.gov/data/mwreview/1988.pdf" TargetMode="External"/><Relationship Id="rId118" Type="http://schemas.openxmlformats.org/officeDocument/2006/relationships/hyperlink" Target="https://www.nhc.noaa.gov/data/tcr/AL081998_Hermine.pdf" TargetMode="External"/><Relationship Id="rId325" Type="http://schemas.openxmlformats.org/officeDocument/2006/relationships/hyperlink" Target="https://www.nhc.noaa.gov/data/tcr/AL142013_Melissa.pdf" TargetMode="External"/><Relationship Id="rId367" Type="http://schemas.openxmlformats.org/officeDocument/2006/relationships/hyperlink" Target="https://www.nhc.noaa.gov/data/tcr/AL072017_Franklin.pdf" TargetMode="External"/><Relationship Id="rId532" Type="http://schemas.openxmlformats.org/officeDocument/2006/relationships/hyperlink" Target="https://www.nhc.noaa.gov/data/mwreview/1969.pdf" TargetMode="External"/><Relationship Id="rId574" Type="http://schemas.openxmlformats.org/officeDocument/2006/relationships/hyperlink" Target="https://www.nhc.noaa.gov/data/mwreview/1990.pdf" TargetMode="External"/><Relationship Id="rId171" Type="http://schemas.openxmlformats.org/officeDocument/2006/relationships/hyperlink" Target="https://www.nhc.noaa.gov/data/tcr/AL162003_Kate.pdf" TargetMode="External"/><Relationship Id="rId227" Type="http://schemas.openxmlformats.org/officeDocument/2006/relationships/hyperlink" Target="https://www.nhc.noaa.gov/data/tcr/AL102007_Ten.pdf" TargetMode="External"/><Relationship Id="rId269" Type="http://schemas.openxmlformats.org/officeDocument/2006/relationships/hyperlink" Target="https://www.nhc.noaa.gov/data/tcr/AL132010_Karl.pdf" TargetMode="External"/><Relationship Id="rId434" Type="http://schemas.openxmlformats.org/officeDocument/2006/relationships/hyperlink" Target="https://www.nhc.noaa.gov/data/tcr/AL032021_Claudette.pdf" TargetMode="External"/><Relationship Id="rId476" Type="http://schemas.openxmlformats.org/officeDocument/2006/relationships/hyperlink" Target="https://www.nhc.noaa.gov/data/tcr/AL152023_Nigel.pdf" TargetMode="External"/><Relationship Id="rId641" Type="http://schemas.openxmlformats.org/officeDocument/2006/relationships/hyperlink" Target="https://www.nhc.noaa.gov/data/mwreview/1978.pdf" TargetMode="External"/><Relationship Id="rId683" Type="http://schemas.openxmlformats.org/officeDocument/2006/relationships/hyperlink" Target="https://www.nhc.noaa.gov/data/mwreview/1984.pdf" TargetMode="External"/><Relationship Id="rId739" Type="http://schemas.openxmlformats.org/officeDocument/2006/relationships/hyperlink" Target="https://www.nhc.noaa.gov/data/tcr/AL082001_Gabrielle.pdf" TargetMode="External"/><Relationship Id="rId33" Type="http://schemas.openxmlformats.org/officeDocument/2006/relationships/hyperlink" Target="https://www.aoml.noaa.gov/general/lib/lib1/nhclib/mwreviews/1968.pdf" TargetMode="External"/><Relationship Id="rId129" Type="http://schemas.openxmlformats.org/officeDocument/2006/relationships/hyperlink" Target="https://www.nhc.noaa.gov/data/tcr/AL151999_Katrina.pdf" TargetMode="External"/><Relationship Id="rId280" Type="http://schemas.openxmlformats.org/officeDocument/2006/relationships/hyperlink" Target="https://www.nhc.noaa.gov/data/tcr/AL032011_Cindy.pdf" TargetMode="External"/><Relationship Id="rId336" Type="http://schemas.openxmlformats.org/officeDocument/2006/relationships/hyperlink" Target="https://www.nhc.noaa.gov/data/tcr/AL022015_Bill.pdf" TargetMode="External"/><Relationship Id="rId501" Type="http://schemas.openxmlformats.org/officeDocument/2006/relationships/hyperlink" Target="https://www.nhc.noaa.gov/data/mwreview/1972.pdf" TargetMode="External"/><Relationship Id="rId543" Type="http://schemas.openxmlformats.org/officeDocument/2006/relationships/hyperlink" Target="https://www.nhc.noaa.gov/data/mwreview/1982.pdf" TargetMode="External"/><Relationship Id="rId75" Type="http://schemas.openxmlformats.org/officeDocument/2006/relationships/hyperlink" Target="https://www.nhc.noaa.gov/data/mwreview/1990.pdf" TargetMode="External"/><Relationship Id="rId140" Type="http://schemas.openxmlformats.org/officeDocument/2006/relationships/hyperlink" Target="https://www.nhc.noaa.gov/data/tcr/AL162000_Leslie.pdf" TargetMode="External"/><Relationship Id="rId182" Type="http://schemas.openxmlformats.org/officeDocument/2006/relationships/hyperlink" Target="https://www.nhc.noaa.gov/data/tcr/AL122004_Karl.pdf" TargetMode="External"/><Relationship Id="rId378" Type="http://schemas.openxmlformats.org/officeDocument/2006/relationships/hyperlink" Target="https://www.nhc.noaa.gov/data/tcr/AL032018_Chris.pdf" TargetMode="External"/><Relationship Id="rId403" Type="http://schemas.openxmlformats.org/officeDocument/2006/relationships/hyperlink" Target="https://www.nhc.noaa.gov/data/tcr/AL162019_Nestor.pdf" TargetMode="External"/><Relationship Id="rId585" Type="http://schemas.openxmlformats.org/officeDocument/2006/relationships/hyperlink" Target="https://www.nhc.noaa.gov/data/tcr/AL042005_Dennis.pdf" TargetMode="External"/><Relationship Id="rId750" Type="http://schemas.openxmlformats.org/officeDocument/2006/relationships/hyperlink" Target="https://www.nhc.noaa.gov/data/tcr/AL182005_Rita.pdf" TargetMode="External"/><Relationship Id="rId6" Type="http://schemas.openxmlformats.org/officeDocument/2006/relationships/hyperlink" Target="https://www.nhc.noaa.gov/data/mwreview/1963.pdf" TargetMode="External"/><Relationship Id="rId238" Type="http://schemas.openxmlformats.org/officeDocument/2006/relationships/hyperlink" Target="https://www.nhc.noaa.gov/data/tcr/AL052008_Edouard.pdf" TargetMode="External"/><Relationship Id="rId445" Type="http://schemas.openxmlformats.org/officeDocument/2006/relationships/hyperlink" Target="https://www.nhc.noaa.gov/data/tcr/AL182021_Sam.pdf" TargetMode="External"/><Relationship Id="rId487" Type="http://schemas.openxmlformats.org/officeDocument/2006/relationships/hyperlink" Target="https://www.nhc.noaa.gov/data/tcr/AL072024_Gordon.pdf" TargetMode="External"/><Relationship Id="rId610" Type="http://schemas.openxmlformats.org/officeDocument/2006/relationships/hyperlink" Target="https://www.nhc.noaa.gov/data/mwreview/1971.pdf" TargetMode="External"/><Relationship Id="rId652" Type="http://schemas.openxmlformats.org/officeDocument/2006/relationships/hyperlink" Target="https://www.nhc.noaa.gov/data/mwreview/1980.pdf" TargetMode="External"/><Relationship Id="rId694" Type="http://schemas.openxmlformats.org/officeDocument/2006/relationships/hyperlink" Target="https://www.nhc.noaa.gov/data/mwreview/1985.pdf" TargetMode="External"/><Relationship Id="rId708" Type="http://schemas.openxmlformats.org/officeDocument/2006/relationships/hyperlink" Target="https://www.nhc.noaa.gov/data/mwreview/1991.pdf" TargetMode="External"/><Relationship Id="rId291" Type="http://schemas.openxmlformats.org/officeDocument/2006/relationships/hyperlink" Target="https://www.nhc.noaa.gov/data/tcr/AL162011_Ophelia.pdf" TargetMode="External"/><Relationship Id="rId305" Type="http://schemas.openxmlformats.org/officeDocument/2006/relationships/hyperlink" Target="https://www.nhc.noaa.gov/data/tcr/AL122012_Leslie.pdf" TargetMode="External"/><Relationship Id="rId347" Type="http://schemas.openxmlformats.org/officeDocument/2006/relationships/hyperlink" Target="https://www.nhc.noaa.gov/data/tcr/AL012016_Alex.pdf" TargetMode="External"/><Relationship Id="rId512" Type="http://schemas.openxmlformats.org/officeDocument/2006/relationships/hyperlink" Target="https://www.nhc.noaa.gov/data/tcr/AL142021_Nicholas.pdf" TargetMode="External"/><Relationship Id="rId44" Type="http://schemas.openxmlformats.org/officeDocument/2006/relationships/hyperlink" Target="https://www.nhc.noaa.gov/data/mwreview/1971.pdf" TargetMode="External"/><Relationship Id="rId86" Type="http://schemas.openxmlformats.org/officeDocument/2006/relationships/hyperlink" Target="https://www.nhc.noaa.gov/data/mwreview/1991.pdf" TargetMode="External"/><Relationship Id="rId151" Type="http://schemas.openxmlformats.org/officeDocument/2006/relationships/hyperlink" Target="https://www.nhc.noaa.gov/data/tcr/AL142001_Lorenzo.pdf" TargetMode="External"/><Relationship Id="rId389" Type="http://schemas.openxmlformats.org/officeDocument/2006/relationships/hyperlink" Target="https://www.nhc.noaa.gov/data/tcr/AL162018_Oscar.pdf" TargetMode="External"/><Relationship Id="rId554" Type="http://schemas.openxmlformats.org/officeDocument/2006/relationships/hyperlink" Target="https://www.nhc.noaa.gov/data/tcr/AL061998_Frances.pdf" TargetMode="External"/><Relationship Id="rId596" Type="http://schemas.openxmlformats.org/officeDocument/2006/relationships/hyperlink" Target="https://www.nhc.noaa.gov/data/mwreview/1969.pdf" TargetMode="External"/><Relationship Id="rId761" Type="http://schemas.openxmlformats.org/officeDocument/2006/relationships/hyperlink" Target="https://www.nhc.noaa.gov/data/tcr/AL142018_Michael.pdf" TargetMode="External"/><Relationship Id="rId193" Type="http://schemas.openxmlformats.org/officeDocument/2006/relationships/hyperlink" Target="https://www.nhc.noaa.gov/data/tcr/AL092005_Irene.pdf" TargetMode="External"/><Relationship Id="rId207" Type="http://schemas.openxmlformats.org/officeDocument/2006/relationships/hyperlink" Target="https://www.nhc.noaa.gov/data/tcr/AL282005_Gamma.pdf" TargetMode="External"/><Relationship Id="rId249" Type="http://schemas.openxmlformats.org/officeDocument/2006/relationships/hyperlink" Target="https://www.nhc.noaa.gov/data/tcr/AL022009_Ana.pdf" TargetMode="External"/><Relationship Id="rId414" Type="http://schemas.openxmlformats.org/officeDocument/2006/relationships/hyperlink" Target="https://www.nhc.noaa.gov/data/tcr/AL072020_Gonzalo.pdf" TargetMode="External"/><Relationship Id="rId456" Type="http://schemas.openxmlformats.org/officeDocument/2006/relationships/hyperlink" Target="https://www.nhc.noaa.gov/data/tcr/AL102022_Hermine.pdf" TargetMode="External"/><Relationship Id="rId498" Type="http://schemas.openxmlformats.org/officeDocument/2006/relationships/hyperlink" Target="https://www.nhc.noaa.gov/data/tcr/AL192024_Sara.pdf" TargetMode="External"/><Relationship Id="rId621" Type="http://schemas.openxmlformats.org/officeDocument/2006/relationships/hyperlink" Target="https://www.nhc.noaa.gov/data/mwreview/1975.pdf" TargetMode="External"/><Relationship Id="rId663" Type="http://schemas.openxmlformats.org/officeDocument/2006/relationships/hyperlink" Target="https://www.nhc.noaa.gov/data/mwreview/1981.pdf" TargetMode="External"/><Relationship Id="rId13" Type="http://schemas.openxmlformats.org/officeDocument/2006/relationships/hyperlink" Target="https://www.nhc.noaa.gov/data/mwreview/1966.pdf" TargetMode="External"/><Relationship Id="rId109" Type="http://schemas.openxmlformats.org/officeDocument/2006/relationships/hyperlink" Target="https://www.nhc.noaa.gov/data/tcr/AL131996_Marco.pdf" TargetMode="External"/><Relationship Id="rId260" Type="http://schemas.openxmlformats.org/officeDocument/2006/relationships/hyperlink" Target="https://www.nhc.noaa.gov/data/tcr/AL022010_Two.pdf" TargetMode="External"/><Relationship Id="rId316" Type="http://schemas.openxmlformats.org/officeDocument/2006/relationships/hyperlink" Target="https://www.nhc.noaa.gov/data/tcr/AL052013_Erin.pdf" TargetMode="External"/><Relationship Id="rId523" Type="http://schemas.openxmlformats.org/officeDocument/2006/relationships/hyperlink" Target="https://www.nhc.noaa.gov/data/tcr/AL182012_Sandy.pdf" TargetMode="External"/><Relationship Id="rId719" Type="http://schemas.openxmlformats.org/officeDocument/2006/relationships/hyperlink" Target="https://www.nhc.noaa.gov/data/mwreview/1994.pdf" TargetMode="External"/><Relationship Id="rId55" Type="http://schemas.openxmlformats.org/officeDocument/2006/relationships/hyperlink" Target="https://www.nhc.noaa.gov/data/mwreview/1987.pdf" TargetMode="External"/><Relationship Id="rId97" Type="http://schemas.openxmlformats.org/officeDocument/2006/relationships/hyperlink" Target="https://www.nhc.noaa.gov/data/mwreview/1995.pdf" TargetMode="External"/><Relationship Id="rId120" Type="http://schemas.openxmlformats.org/officeDocument/2006/relationships/hyperlink" Target="https://www.nhc.noaa.gov/data/tcr/AL101998_Jeanne.pdf" TargetMode="External"/><Relationship Id="rId358" Type="http://schemas.openxmlformats.org/officeDocument/2006/relationships/hyperlink" Target="https://www.nhc.noaa.gov/data/tcr/AL132016_Lisa.pdf" TargetMode="External"/><Relationship Id="rId565" Type="http://schemas.openxmlformats.org/officeDocument/2006/relationships/hyperlink" Target="https://journals.ametsoc.org/view/journals/bams/97/7/bams-d-15-00042.1.xml" TargetMode="External"/><Relationship Id="rId730" Type="http://schemas.openxmlformats.org/officeDocument/2006/relationships/hyperlink" Target="https://www.nhc.noaa.gov/data/mwreview/1995.pdf" TargetMode="External"/><Relationship Id="rId162" Type="http://schemas.openxmlformats.org/officeDocument/2006/relationships/hyperlink" Target="https://www.nhc.noaa.gov/data/tcr/AL112002_Josephine.pdf" TargetMode="External"/><Relationship Id="rId218" Type="http://schemas.openxmlformats.org/officeDocument/2006/relationships/hyperlink" Target="https://www.nhc.noaa.gov/data/tcr/AL102006_Isaac.pdf" TargetMode="External"/><Relationship Id="rId425" Type="http://schemas.openxmlformats.org/officeDocument/2006/relationships/hyperlink" Target="https://www.nhc.noaa.gov/data/tcr/AL222020_Beta.pdf" TargetMode="External"/><Relationship Id="rId467" Type="http://schemas.openxmlformats.org/officeDocument/2006/relationships/hyperlink" Target="https://www.nhc.noaa.gov/data/tcr/AL052023_Don.pdf" TargetMode="External"/><Relationship Id="rId632" Type="http://schemas.openxmlformats.org/officeDocument/2006/relationships/hyperlink" Target="https://www.nhc.noaa.gov/data/mwreview/1977.pdf" TargetMode="External"/><Relationship Id="rId271" Type="http://schemas.openxmlformats.org/officeDocument/2006/relationships/hyperlink" Target="https://www.nhc.noaa.gov/data/tcr/AL152010_Matthew.pdf" TargetMode="External"/><Relationship Id="rId674" Type="http://schemas.openxmlformats.org/officeDocument/2006/relationships/hyperlink" Target="https://www.nhc.noaa.gov/data/mwreview/1982.pdf" TargetMode="External"/><Relationship Id="rId24" Type="http://schemas.openxmlformats.org/officeDocument/2006/relationships/hyperlink" Target="https://www.nhc.noaa.gov/data/mwreview/1967.pdf" TargetMode="External"/><Relationship Id="rId66" Type="http://schemas.openxmlformats.org/officeDocument/2006/relationships/hyperlink" Target="https://www.nhc.noaa.gov/data/mwreview/1988.pdf" TargetMode="External"/><Relationship Id="rId131" Type="http://schemas.openxmlformats.org/officeDocument/2006/relationships/hyperlink" Target="https://www.nhc.noaa.gov/data/tcr/AL032000_Alberto.pdf" TargetMode="External"/><Relationship Id="rId327" Type="http://schemas.openxmlformats.org/officeDocument/2006/relationships/hyperlink" Target="https://www.nhc.noaa.gov/data/tcr/AL022014_Two.pdf" TargetMode="External"/><Relationship Id="rId369" Type="http://schemas.openxmlformats.org/officeDocument/2006/relationships/hyperlink" Target="https://www.nhc.noaa.gov/data/tcr/AL122017_Jose.pdf" TargetMode="External"/><Relationship Id="rId534" Type="http://schemas.openxmlformats.org/officeDocument/2006/relationships/hyperlink" Target="https://www.nhc.noaa.gov/data/mwreview/1974.pdf" TargetMode="External"/><Relationship Id="rId576" Type="http://schemas.openxmlformats.org/officeDocument/2006/relationships/hyperlink" Target="https://www.nhc.noaa.gov/data/tcr/AL051995_Erin.pdf" TargetMode="External"/><Relationship Id="rId741" Type="http://schemas.openxmlformats.org/officeDocument/2006/relationships/hyperlink" Target="https://www.nhc.noaa.gov/data/tcr/AL102002_Isidore.pdf" TargetMode="External"/><Relationship Id="rId173" Type="http://schemas.openxmlformats.org/officeDocument/2006/relationships/hyperlink" Target="https://www.nhc.noaa.gov/data/tcr/AL182003_Mindy.pdf" TargetMode="External"/><Relationship Id="rId229" Type="http://schemas.openxmlformats.org/officeDocument/2006/relationships/hyperlink" Target="https://www.nhc.noaa.gov/data/tcr/AL122007_Karen.pdf" TargetMode="External"/><Relationship Id="rId380" Type="http://schemas.openxmlformats.org/officeDocument/2006/relationships/hyperlink" Target="https://www.nhc.noaa.gov/data/tcr/AL052018_Ernesto.pdf" TargetMode="External"/><Relationship Id="rId436" Type="http://schemas.openxmlformats.org/officeDocument/2006/relationships/hyperlink" Target="https://www.nhc.noaa.gov/data/tcr/AL072021_Grace.pdf" TargetMode="External"/><Relationship Id="rId601" Type="http://schemas.openxmlformats.org/officeDocument/2006/relationships/hyperlink" Target="https://www.nhc.noaa.gov/data/mwreview/1969.pdf" TargetMode="External"/><Relationship Id="rId643" Type="http://schemas.openxmlformats.org/officeDocument/2006/relationships/hyperlink" Target="https://www.nhc.noaa.gov/data/mwreview/1978.pdf" TargetMode="External"/><Relationship Id="rId240" Type="http://schemas.openxmlformats.org/officeDocument/2006/relationships/hyperlink" Target="https://www.nhc.noaa.gov/data/tcr/AL102008_Josephine.pdf" TargetMode="External"/><Relationship Id="rId478" Type="http://schemas.openxmlformats.org/officeDocument/2006/relationships/hyperlink" Target="https://www.nhc.noaa.gov/data/tcr/AL172023_Philippe.pdf" TargetMode="External"/><Relationship Id="rId685" Type="http://schemas.openxmlformats.org/officeDocument/2006/relationships/hyperlink" Target="https://www.nhc.noaa.gov/data/mwreview/1984.pdf" TargetMode="External"/><Relationship Id="rId35" Type="http://schemas.openxmlformats.org/officeDocument/2006/relationships/hyperlink" Target="https://www.nhc.noaa.gov/data/mwreview/1969.pdf" TargetMode="External"/><Relationship Id="rId77" Type="http://schemas.openxmlformats.org/officeDocument/2006/relationships/hyperlink" Target="https://www.nhc.noaa.gov/data/mwreview/1990.pdf" TargetMode="External"/><Relationship Id="rId100" Type="http://schemas.openxmlformats.org/officeDocument/2006/relationships/hyperlink" Target="https://www.nhc.noaa.gov/data/tcr/AL011996_Arthur.pdf" TargetMode="External"/><Relationship Id="rId282" Type="http://schemas.openxmlformats.org/officeDocument/2006/relationships/hyperlink" Target="https://www.nhc.noaa.gov/data/tcr/AL052011_Emily.pdf" TargetMode="External"/><Relationship Id="rId338" Type="http://schemas.openxmlformats.org/officeDocument/2006/relationships/hyperlink" Target="https://www.nhc.noaa.gov/data/tcr/AL042015_Danny.pdf" TargetMode="External"/><Relationship Id="rId503" Type="http://schemas.openxmlformats.org/officeDocument/2006/relationships/hyperlink" Target="https://www.nhc.noaa.gov/data/mwreview/1970.pdf" TargetMode="External"/><Relationship Id="rId545" Type="http://schemas.openxmlformats.org/officeDocument/2006/relationships/hyperlink" Target="https://www.nhc.noaa.gov/data/mwreview/1984.pdf" TargetMode="External"/><Relationship Id="rId587" Type="http://schemas.openxmlformats.org/officeDocument/2006/relationships/hyperlink" Target="https://www.nhc.noaa.gov/data/mwreview/1964.pdf" TargetMode="External"/><Relationship Id="rId710" Type="http://schemas.openxmlformats.org/officeDocument/2006/relationships/hyperlink" Target="https://www.nhc.noaa.gov/data/mwreview/1993.pdf" TargetMode="External"/><Relationship Id="rId752" Type="http://schemas.openxmlformats.org/officeDocument/2006/relationships/hyperlink" Target="https://www.nhc.noaa.gov/data/tcr/AL062006_Ernesto.pdf" TargetMode="External"/><Relationship Id="rId8" Type="http://schemas.openxmlformats.org/officeDocument/2006/relationships/hyperlink" Target="https://www.nhc.noaa.gov/data/mwreview/1964.pdf" TargetMode="External"/><Relationship Id="rId142" Type="http://schemas.openxmlformats.org/officeDocument/2006/relationships/hyperlink" Target="https://www.nhc.noaa.gov/data/tcr/AL182000_Nadine.pdf" TargetMode="External"/><Relationship Id="rId184" Type="http://schemas.openxmlformats.org/officeDocument/2006/relationships/hyperlink" Target="https://www.nhc.noaa.gov/data/tcr/AL142004_Matthew.pdf" TargetMode="External"/><Relationship Id="rId391" Type="http://schemas.openxmlformats.org/officeDocument/2006/relationships/hyperlink" Target="https://www.nhc.noaa.gov/data/tcr/AL022019_Barry.pdf" TargetMode="External"/><Relationship Id="rId405" Type="http://schemas.openxmlformats.org/officeDocument/2006/relationships/hyperlink" Target="https://www.nhc.noaa.gov/data/tcr/AL182019_Pablo.pdf" TargetMode="External"/><Relationship Id="rId447" Type="http://schemas.openxmlformats.org/officeDocument/2006/relationships/hyperlink" Target="https://www.nhc.noaa.gov/data/tcr/AL202021_Victor.pdf" TargetMode="External"/><Relationship Id="rId612" Type="http://schemas.openxmlformats.org/officeDocument/2006/relationships/hyperlink" Target="https://www.nhc.noaa.gov/data/mwreview/1974.pdf" TargetMode="External"/><Relationship Id="rId251" Type="http://schemas.openxmlformats.org/officeDocument/2006/relationships/hyperlink" Target="https://www.nhc.noaa.gov/data/tcr/AL042009_Claudette.pdf" TargetMode="External"/><Relationship Id="rId489" Type="http://schemas.openxmlformats.org/officeDocument/2006/relationships/hyperlink" Target="https://www.nhc.noaa.gov/data/tcr/AL102024_Isaac.pdf" TargetMode="External"/><Relationship Id="rId654" Type="http://schemas.openxmlformats.org/officeDocument/2006/relationships/hyperlink" Target="https://www.nhc.noaa.gov/data/mwreview/1980.pdf" TargetMode="External"/><Relationship Id="rId696" Type="http://schemas.openxmlformats.org/officeDocument/2006/relationships/hyperlink" Target="https://www.nhc.noaa.gov/data/mwreview/1986.pdf" TargetMode="External"/><Relationship Id="rId46" Type="http://schemas.openxmlformats.org/officeDocument/2006/relationships/hyperlink" Target="https://www.nhc.noaa.gov/data/mwreview/1973.pdf" TargetMode="External"/><Relationship Id="rId293" Type="http://schemas.openxmlformats.org/officeDocument/2006/relationships/hyperlink" Target="https://www.nhc.noaa.gov/data/tcr/AL182011_Rina.pdf" TargetMode="External"/><Relationship Id="rId307" Type="http://schemas.openxmlformats.org/officeDocument/2006/relationships/hyperlink" Target="https://www.nhc.noaa.gov/data/tcr/AL142012_Nadine.pdf" TargetMode="External"/><Relationship Id="rId349" Type="http://schemas.openxmlformats.org/officeDocument/2006/relationships/hyperlink" Target="https://www.nhc.noaa.gov/data/tcr/AL032016_Colin.pdf" TargetMode="External"/><Relationship Id="rId514" Type="http://schemas.openxmlformats.org/officeDocument/2006/relationships/hyperlink" Target="https://www.nhc.noaa.gov/data/tcr/AL062021_Fred.pdf" TargetMode="External"/><Relationship Id="rId556" Type="http://schemas.openxmlformats.org/officeDocument/2006/relationships/hyperlink" Target="https://www.nhc.noaa.gov/data/tcr/AL131998_Mitch.pdf" TargetMode="External"/><Relationship Id="rId721" Type="http://schemas.openxmlformats.org/officeDocument/2006/relationships/hyperlink" Target="https://www.nhc.noaa.gov/data/mwreview/1995.pdf" TargetMode="External"/><Relationship Id="rId88" Type="http://schemas.openxmlformats.org/officeDocument/2006/relationships/hyperlink" Target="https://www.nhc.noaa.gov/data/mwreview/1991.pdf" TargetMode="External"/><Relationship Id="rId111" Type="http://schemas.openxmlformats.org/officeDocument/2006/relationships/hyperlink" Target="https://www.nhc.noaa.gov/data/tcr/AL031997_Bill.pdf" TargetMode="External"/><Relationship Id="rId153" Type="http://schemas.openxmlformats.org/officeDocument/2006/relationships/hyperlink" Target="https://www.nhc.noaa.gov/data/tcr/AL162001_Noel.pdf" TargetMode="External"/><Relationship Id="rId195" Type="http://schemas.openxmlformats.org/officeDocument/2006/relationships/hyperlink" Target="https://www.nhc.noaa.gov/data/tcr/AL112005_Jose.pdf" TargetMode="External"/><Relationship Id="rId209" Type="http://schemas.openxmlformats.org/officeDocument/2006/relationships/hyperlink" Target="https://www.nhc.noaa.gov/data/tcr/AL302005_Epsilon.pdf" TargetMode="External"/><Relationship Id="rId360" Type="http://schemas.openxmlformats.org/officeDocument/2006/relationships/hyperlink" Target="https://www.nhc.noaa.gov/data/tcr/AL162016_Otto.pdf" TargetMode="External"/><Relationship Id="rId416" Type="http://schemas.openxmlformats.org/officeDocument/2006/relationships/hyperlink" Target="https://www.nhc.noaa.gov/data/tcr/AL112020_Josephine.pdf" TargetMode="External"/><Relationship Id="rId598" Type="http://schemas.openxmlformats.org/officeDocument/2006/relationships/hyperlink" Target="https://www.nhc.noaa.gov/data/mwreview/1969.pdf" TargetMode="External"/><Relationship Id="rId220" Type="http://schemas.openxmlformats.org/officeDocument/2006/relationships/hyperlink" Target="https://www.nhc.noaa.gov/data/tcr/AL022007_Barry.pdf" TargetMode="External"/><Relationship Id="rId458" Type="http://schemas.openxmlformats.org/officeDocument/2006/relationships/hyperlink" Target="https://www.nhc.noaa.gov/data/tcr/AL122022_Twelve.pdf" TargetMode="External"/><Relationship Id="rId623" Type="http://schemas.openxmlformats.org/officeDocument/2006/relationships/hyperlink" Target="https://www.nhc.noaa.gov/data/mwreview/1975.pdf" TargetMode="External"/><Relationship Id="rId665" Type="http://schemas.openxmlformats.org/officeDocument/2006/relationships/hyperlink" Target="https://www.nhc.noaa.gov/data/mwreview/1981.pdf" TargetMode="External"/><Relationship Id="rId15" Type="http://schemas.openxmlformats.org/officeDocument/2006/relationships/hyperlink" Target="https://www.nhc.noaa.gov/data/mwreview/1966.pdf" TargetMode="External"/><Relationship Id="rId57" Type="http://schemas.openxmlformats.org/officeDocument/2006/relationships/hyperlink" Target="https://www.nhc.noaa.gov/data/mwreview/1987.pdf" TargetMode="External"/><Relationship Id="rId262" Type="http://schemas.openxmlformats.org/officeDocument/2006/relationships/hyperlink" Target="https://www.nhc.noaa.gov/data/tcr/AL042010_Colin.pdf" TargetMode="External"/><Relationship Id="rId318" Type="http://schemas.openxmlformats.org/officeDocument/2006/relationships/hyperlink" Target="https://www.nhc.noaa.gov/data/tcr/AL072013_Gabrielle.pdf" TargetMode="External"/><Relationship Id="rId525" Type="http://schemas.openxmlformats.org/officeDocument/2006/relationships/hyperlink" Target="https://www.nhc.noaa.gov/data/tcr/AL282020_Zeta.pdf" TargetMode="External"/><Relationship Id="rId567" Type="http://schemas.openxmlformats.org/officeDocument/2006/relationships/hyperlink" Target="https://www.nhc.noaa.gov/data/mwreview/1975.pdf" TargetMode="External"/><Relationship Id="rId732" Type="http://schemas.openxmlformats.org/officeDocument/2006/relationships/hyperlink" Target="https://www.nhc.noaa.gov/data/mwreview/1995.pdf" TargetMode="External"/><Relationship Id="rId99" Type="http://schemas.openxmlformats.org/officeDocument/2006/relationships/hyperlink" Target="https://www.nhc.noaa.gov/data/mwreview/1995.pdf" TargetMode="External"/><Relationship Id="rId122" Type="http://schemas.openxmlformats.org/officeDocument/2006/relationships/hyperlink" Target="https://www.nhc.noaa.gov/data/tcr/AL121998_Lisa.pdf" TargetMode="External"/><Relationship Id="rId164" Type="http://schemas.openxmlformats.org/officeDocument/2006/relationships/hyperlink" Target="https://www.nhc.noaa.gov/data/tcr/AL012003_Ana.pdf" TargetMode="External"/><Relationship Id="rId371" Type="http://schemas.openxmlformats.org/officeDocument/2006/relationships/hyperlink" Target="https://www.nhc.noaa.gov/data/tcr/AL142017_Lee.pdf" TargetMode="External"/><Relationship Id="rId427" Type="http://schemas.openxmlformats.org/officeDocument/2006/relationships/hyperlink" Target="https://www.nhc.noaa.gov/data/tcr/AL242020_Alpha.pdf" TargetMode="External"/><Relationship Id="rId469" Type="http://schemas.openxmlformats.org/officeDocument/2006/relationships/hyperlink" Target="https://www.nhc.noaa.gov/data/tcr/AL072023_Emily.pdf" TargetMode="External"/><Relationship Id="rId634" Type="http://schemas.openxmlformats.org/officeDocument/2006/relationships/hyperlink" Target="https://www.nhc.noaa.gov/data/mwreview/1977.pdf" TargetMode="External"/><Relationship Id="rId676" Type="http://schemas.openxmlformats.org/officeDocument/2006/relationships/hyperlink" Target="https://www.nhc.noaa.gov/data/mwreview/1983.pdf" TargetMode="External"/><Relationship Id="rId26" Type="http://schemas.openxmlformats.org/officeDocument/2006/relationships/hyperlink" Target="https://www.nhc.noaa.gov/data/mwreview/1967.pdf" TargetMode="External"/><Relationship Id="rId231" Type="http://schemas.openxmlformats.org/officeDocument/2006/relationships/hyperlink" Target="https://www.nhc.noaa.gov/data/tcr/AL142007_Melissa.pdf" TargetMode="External"/><Relationship Id="rId273" Type="http://schemas.openxmlformats.org/officeDocument/2006/relationships/hyperlink" Target="https://www.nhc.noaa.gov/data/tcr/AL172010_Otto.pdf" TargetMode="External"/><Relationship Id="rId329" Type="http://schemas.openxmlformats.org/officeDocument/2006/relationships/hyperlink" Target="https://www.nhc.noaa.gov/data/tcr/AL042014_Cristobal.pdf" TargetMode="External"/><Relationship Id="rId480" Type="http://schemas.openxmlformats.org/officeDocument/2006/relationships/hyperlink" Target="https://www.nhc.noaa.gov/data/tcr/AL192023_Sean.pdf" TargetMode="External"/><Relationship Id="rId536" Type="http://schemas.openxmlformats.org/officeDocument/2006/relationships/hyperlink" Target="https://www.nhc.noaa.gov/data/mwreview/1976.pdf" TargetMode="External"/><Relationship Id="rId701" Type="http://schemas.openxmlformats.org/officeDocument/2006/relationships/hyperlink" Target="https://www.nhc.noaa.gov/data/mwreview/1989.pdf" TargetMode="External"/><Relationship Id="rId68" Type="http://schemas.openxmlformats.org/officeDocument/2006/relationships/hyperlink" Target="https://www.nhc.noaa.gov/data/mwreview/1988.pdf" TargetMode="External"/><Relationship Id="rId133" Type="http://schemas.openxmlformats.org/officeDocument/2006/relationships/hyperlink" Target="https://www.nhc.noaa.gov/data/tcr/AL062000_Chris.pdf" TargetMode="External"/><Relationship Id="rId175" Type="http://schemas.openxmlformats.org/officeDocument/2006/relationships/hyperlink" Target="https://www.nhc.noaa.gov/data/tcr/AL202003_Odette.pdf" TargetMode="External"/><Relationship Id="rId340" Type="http://schemas.openxmlformats.org/officeDocument/2006/relationships/hyperlink" Target="https://www.nhc.noaa.gov/data/tcr/AL062015_Fred.pdf" TargetMode="External"/><Relationship Id="rId578" Type="http://schemas.openxmlformats.org/officeDocument/2006/relationships/hyperlink" Target="https://www.nhc.noaa.gov/data/tcr/AL111995_Jerry.pdf" TargetMode="External"/><Relationship Id="rId743" Type="http://schemas.openxmlformats.org/officeDocument/2006/relationships/hyperlink" Target="https://www.nhc.noaa.gov/data/tcr/AL032003_Bill.pdf" TargetMode="External"/><Relationship Id="rId200" Type="http://schemas.openxmlformats.org/officeDocument/2006/relationships/hyperlink" Target="https://www.nhc.noaa.gov/data/tcr/AL192005_Nineteen.pdf" TargetMode="External"/><Relationship Id="rId382" Type="http://schemas.openxmlformats.org/officeDocument/2006/relationships/hyperlink" Target="https://www.nhc.noaa.gov/data/tcr/AL082018_Helene.pdf" TargetMode="External"/><Relationship Id="rId438" Type="http://schemas.openxmlformats.org/officeDocument/2006/relationships/hyperlink" Target="https://www.nhc.noaa.gov/data/tcr/AL102021_Kate.pdf" TargetMode="External"/><Relationship Id="rId603" Type="http://schemas.openxmlformats.org/officeDocument/2006/relationships/hyperlink" Target="https://www.nhc.noaa.gov/data/mwreview/1969.pdf" TargetMode="External"/><Relationship Id="rId645" Type="http://schemas.openxmlformats.org/officeDocument/2006/relationships/hyperlink" Target="https://www.nhc.noaa.gov/data/mwreview/1978.pdf" TargetMode="External"/><Relationship Id="rId687" Type="http://schemas.openxmlformats.org/officeDocument/2006/relationships/hyperlink" Target="https://www.nhc.noaa.gov/data/mwreview/1984.pdf" TargetMode="External"/><Relationship Id="rId242" Type="http://schemas.openxmlformats.org/officeDocument/2006/relationships/hyperlink" Target="https://www.nhc.noaa.gov/data/tcr/AL122008_Laura.pdf" TargetMode="External"/><Relationship Id="rId284" Type="http://schemas.openxmlformats.org/officeDocument/2006/relationships/hyperlink" Target="https://www.nhc.noaa.gov/data/tcr/AL072011_Gert.pdf" TargetMode="External"/><Relationship Id="rId491" Type="http://schemas.openxmlformats.org/officeDocument/2006/relationships/hyperlink" Target="https://www.nhc.noaa.gov/data/tcr/AL122024_Kirk.pdf" TargetMode="External"/><Relationship Id="rId505" Type="http://schemas.openxmlformats.org/officeDocument/2006/relationships/hyperlink" Target="https://www.nhc.noaa.gov/data/tcr/AL062018_Florence.pdf" TargetMode="External"/><Relationship Id="rId712" Type="http://schemas.openxmlformats.org/officeDocument/2006/relationships/hyperlink" Target="https://www.nhc.noaa.gov/data/mwreview/1993.pdf" TargetMode="External"/><Relationship Id="rId37" Type="http://schemas.openxmlformats.org/officeDocument/2006/relationships/hyperlink" Target="https://www.nhc.noaa.gov/data/mwreview/1971.pdf" TargetMode="External"/><Relationship Id="rId79" Type="http://schemas.openxmlformats.org/officeDocument/2006/relationships/hyperlink" Target="https://www.nhc.noaa.gov/data/mwreview/1990.pdf" TargetMode="External"/><Relationship Id="rId102" Type="http://schemas.openxmlformats.org/officeDocument/2006/relationships/hyperlink" Target="https://www.nhc.noaa.gov/data/tcr/AL041996_Dolly.pdf" TargetMode="External"/><Relationship Id="rId144" Type="http://schemas.openxmlformats.org/officeDocument/2006/relationships/hyperlink" Target="https://www.nhc.noaa.gov/data/tcr/AL052001_Dean.pdf" TargetMode="External"/><Relationship Id="rId547" Type="http://schemas.openxmlformats.org/officeDocument/2006/relationships/hyperlink" Target="https://www.nhc.noaa.gov/data/mwreview/1989.pdf" TargetMode="External"/><Relationship Id="rId589" Type="http://schemas.openxmlformats.org/officeDocument/2006/relationships/hyperlink" Target="https://www.nhc.noaa.gov/data/mwreview/1964.pdf" TargetMode="External"/><Relationship Id="rId754" Type="http://schemas.openxmlformats.org/officeDocument/2006/relationships/hyperlink" Target="https://www.nhc.noaa.gov/data/tcr/AL042008_Dolly.pdf" TargetMode="External"/><Relationship Id="rId90" Type="http://schemas.openxmlformats.org/officeDocument/2006/relationships/hyperlink" Target="https://www.nhc.noaa.gov/data/mwreview/1992.pdf" TargetMode="External"/><Relationship Id="rId186" Type="http://schemas.openxmlformats.org/officeDocument/2006/relationships/hyperlink" Target="https://www.nhc.noaa.gov/data/tcr/AL162004_Otto.pdf" TargetMode="External"/><Relationship Id="rId351" Type="http://schemas.openxmlformats.org/officeDocument/2006/relationships/hyperlink" Target="https://www.nhc.noaa.gov/data/tcr/AL052016_Earl.pdf" TargetMode="External"/><Relationship Id="rId393" Type="http://schemas.openxmlformats.org/officeDocument/2006/relationships/hyperlink" Target="https://www.nhc.noaa.gov/data/tcr/AL042019_Chantal.pdf" TargetMode="External"/><Relationship Id="rId407" Type="http://schemas.openxmlformats.org/officeDocument/2006/relationships/hyperlink" Target="https://www.nhc.noaa.gov/data/tcr/AL202019_Sebastien.pdf" TargetMode="External"/><Relationship Id="rId449" Type="http://schemas.openxmlformats.org/officeDocument/2006/relationships/hyperlink" Target="https://www.nhc.noaa.gov/data/tcr/AL012022_Alex.pdf" TargetMode="External"/><Relationship Id="rId614" Type="http://schemas.openxmlformats.org/officeDocument/2006/relationships/hyperlink" Target="https://www.nhc.noaa.gov/data/mwreview/1974.pdf" TargetMode="External"/><Relationship Id="rId656" Type="http://schemas.openxmlformats.org/officeDocument/2006/relationships/hyperlink" Target="https://www.nhc.noaa.gov/data/mwreview/1980.pdf" TargetMode="External"/><Relationship Id="rId211" Type="http://schemas.openxmlformats.org/officeDocument/2006/relationships/hyperlink" Target="https://www.nhc.noaa.gov/data/tcr/AL012006_Alberto.pdf" TargetMode="External"/><Relationship Id="rId253" Type="http://schemas.openxmlformats.org/officeDocument/2006/relationships/hyperlink" Target="https://www.nhc.noaa.gov/data/tcr/AL062009_Erika.pdf" TargetMode="External"/><Relationship Id="rId295" Type="http://schemas.openxmlformats.org/officeDocument/2006/relationships/hyperlink" Target="https://www.nhc.noaa.gov/data/tcr/AL012012_Alberto.pdf" TargetMode="External"/><Relationship Id="rId309" Type="http://schemas.openxmlformats.org/officeDocument/2006/relationships/hyperlink" Target="https://www.nhc.noaa.gov/data/tcr/AL162012_Patty.pdf" TargetMode="External"/><Relationship Id="rId460" Type="http://schemas.openxmlformats.org/officeDocument/2006/relationships/hyperlink" Target="https://www.nhc.noaa.gov/data/tcr/AL142022_Karl.pdf" TargetMode="External"/><Relationship Id="rId516" Type="http://schemas.openxmlformats.org/officeDocument/2006/relationships/hyperlink" Target="https://www.nhc.noaa.gov/data/tcr/AL262020_Delta.pdf" TargetMode="External"/><Relationship Id="rId698" Type="http://schemas.openxmlformats.org/officeDocument/2006/relationships/hyperlink" Target="https://www.nhc.noaa.gov/data/mwreview/1986.pdf" TargetMode="External"/><Relationship Id="rId48" Type="http://schemas.openxmlformats.org/officeDocument/2006/relationships/hyperlink" Target="https://www.nhc.noaa.gov/data/mwreview/1973.pdf" TargetMode="External"/><Relationship Id="rId113" Type="http://schemas.openxmlformats.org/officeDocument/2006/relationships/hyperlink" Target="https://www.nhc.noaa.gov/data/tcr/AL071997_Erika.pdf" TargetMode="External"/><Relationship Id="rId320" Type="http://schemas.openxmlformats.org/officeDocument/2006/relationships/hyperlink" Target="https://www.nhc.noaa.gov/data/tcr/AL092013_Humberto.pdf" TargetMode="External"/><Relationship Id="rId558" Type="http://schemas.openxmlformats.org/officeDocument/2006/relationships/hyperlink" Target="https://www.nhc.noaa.gov/data/tcr/AL131999_Irene.pdf" TargetMode="External"/><Relationship Id="rId723" Type="http://schemas.openxmlformats.org/officeDocument/2006/relationships/hyperlink" Target="https://www.nhc.noaa.gov/data/mwreview/1995.pdf" TargetMode="External"/><Relationship Id="rId155" Type="http://schemas.openxmlformats.org/officeDocument/2006/relationships/hyperlink" Target="https://www.nhc.noaa.gov/data/tcr/AL012002_Arthur.pdf" TargetMode="External"/><Relationship Id="rId197" Type="http://schemas.openxmlformats.org/officeDocument/2006/relationships/hyperlink" Target="https://www.nhc.noaa.gov/data/tcr/AL142005_Maria.pdf" TargetMode="External"/><Relationship Id="rId362" Type="http://schemas.openxmlformats.org/officeDocument/2006/relationships/hyperlink" Target="https://www.nhc.noaa.gov/data/tcr/AL022017_Bret.pdf" TargetMode="External"/><Relationship Id="rId418" Type="http://schemas.openxmlformats.org/officeDocument/2006/relationships/hyperlink" Target="https://www.nhc.noaa.gov/data/tcr/AL142020_Marco.pdf" TargetMode="External"/><Relationship Id="rId625" Type="http://schemas.openxmlformats.org/officeDocument/2006/relationships/hyperlink" Target="https://www.nhc.noaa.gov/data/mwreview/1976.pdf" TargetMode="External"/><Relationship Id="rId222" Type="http://schemas.openxmlformats.org/officeDocument/2006/relationships/hyperlink" Target="https://www.nhc.noaa.gov/data/tcr/AL042007_Dean.pdf" TargetMode="External"/><Relationship Id="rId264" Type="http://schemas.openxmlformats.org/officeDocument/2006/relationships/hyperlink" Target="https://www.nhc.noaa.gov/data/tcr/AL062010_Danielle.pdf" TargetMode="External"/><Relationship Id="rId471" Type="http://schemas.openxmlformats.org/officeDocument/2006/relationships/hyperlink" Target="https://www.nhc.noaa.gov/data/tcr/AL092023_Harold.pdf" TargetMode="External"/><Relationship Id="rId667" Type="http://schemas.openxmlformats.org/officeDocument/2006/relationships/hyperlink" Target="https://www.nhc.noaa.gov/data/mwreview/1981.pdf" TargetMode="External"/><Relationship Id="rId17" Type="http://schemas.openxmlformats.org/officeDocument/2006/relationships/hyperlink" Target="https://www.nhc.noaa.gov/data/mwreview/1966.pdf" TargetMode="External"/><Relationship Id="rId59" Type="http://schemas.openxmlformats.org/officeDocument/2006/relationships/hyperlink" Target="https://www.nhc.noaa.gov/data/mwreview/1987.pdf" TargetMode="External"/><Relationship Id="rId124" Type="http://schemas.openxmlformats.org/officeDocument/2006/relationships/hyperlink" Target="https://www.nhc.noaa.gov/data/tcr/AL011999_Arlene.pdf" TargetMode="External"/><Relationship Id="rId527" Type="http://schemas.openxmlformats.org/officeDocument/2006/relationships/hyperlink" Target="https://www.nhc.noaa.gov/data/tcr/AL092020_Isaias.pdf" TargetMode="External"/><Relationship Id="rId569" Type="http://schemas.openxmlformats.org/officeDocument/2006/relationships/hyperlink" Target="https://www.nhc.noaa.gov/data/mwreview/1979.pdf" TargetMode="External"/><Relationship Id="rId734" Type="http://schemas.openxmlformats.org/officeDocument/2006/relationships/hyperlink" Target="https://www.nhc.noaa.gov/data/tcr/AL051999_Dennis.pdf" TargetMode="External"/><Relationship Id="rId70" Type="http://schemas.openxmlformats.org/officeDocument/2006/relationships/hyperlink" Target="https://www.nhc.noaa.gov/data/mwreview/1988.pdf" TargetMode="External"/><Relationship Id="rId166" Type="http://schemas.openxmlformats.org/officeDocument/2006/relationships/hyperlink" Target="https://www.nhc.noaa.gov/data/tcr/AL082003_Erika.pdf" TargetMode="External"/><Relationship Id="rId331" Type="http://schemas.openxmlformats.org/officeDocument/2006/relationships/hyperlink" Target="https://www.nhc.noaa.gov/data/tcr/AL062014_Edouard.pdf" TargetMode="External"/><Relationship Id="rId373" Type="http://schemas.openxmlformats.org/officeDocument/2006/relationships/hyperlink" Target="https://www.nhc.noaa.gov/data/tcr/AL172017_Ophelia.pdf" TargetMode="External"/><Relationship Id="rId429" Type="http://schemas.openxmlformats.org/officeDocument/2006/relationships/hyperlink" Target="https://www.nhc.noaa.gov/data/tcr/AL272020_Epsilon.pdf" TargetMode="External"/><Relationship Id="rId580" Type="http://schemas.openxmlformats.org/officeDocument/2006/relationships/hyperlink" Target="https://www.nhc.noaa.gov/data/tcr/AL081999_Floyd.pdf" TargetMode="External"/><Relationship Id="rId636" Type="http://schemas.openxmlformats.org/officeDocument/2006/relationships/hyperlink" Target="https://www.nhc.noaa.gov/data/mwreview/1978.pdf" TargetMode="External"/><Relationship Id="rId1" Type="http://schemas.openxmlformats.org/officeDocument/2006/relationships/hyperlink" Target="https://www.nhc.noaa.gov/data/mwreview/1963.pdf" TargetMode="External"/><Relationship Id="rId233" Type="http://schemas.openxmlformats.org/officeDocument/2006/relationships/hyperlink" Target="https://www.nhc.noaa.gov/data/tcr/AL162007_Noel.pdf" TargetMode="External"/><Relationship Id="rId440" Type="http://schemas.openxmlformats.org/officeDocument/2006/relationships/hyperlink" Target="https://www.nhc.noaa.gov/data/tcr/AL122021_Larry.pdf" TargetMode="External"/><Relationship Id="rId678" Type="http://schemas.openxmlformats.org/officeDocument/2006/relationships/hyperlink" Target="https://www.nhc.noaa.gov/data/mwreview/1984.pdf" TargetMode="External"/><Relationship Id="rId28" Type="http://schemas.openxmlformats.org/officeDocument/2006/relationships/hyperlink" Target="https://www.aoml.noaa.gov/general/lib/lib1/nhclib/mwreviews/1968.pdf" TargetMode="External"/><Relationship Id="rId275" Type="http://schemas.openxmlformats.org/officeDocument/2006/relationships/hyperlink" Target="https://www.nhc.noaa.gov/data/tcr/AL192010_Richard.pdf" TargetMode="External"/><Relationship Id="rId300" Type="http://schemas.openxmlformats.org/officeDocument/2006/relationships/hyperlink" Target="https://www.nhc.noaa.gov/data/tcr/AL062012_Florence.pdf" TargetMode="External"/><Relationship Id="rId482" Type="http://schemas.openxmlformats.org/officeDocument/2006/relationships/hyperlink" Target="https://www.nhc.noaa.gov/data/tcr/AL212023_Twenty-One.pdf" TargetMode="External"/><Relationship Id="rId538" Type="http://schemas.openxmlformats.org/officeDocument/2006/relationships/hyperlink" Target="https://www.nhc.noaa.gov/data/mwreview/1977.pdf" TargetMode="External"/><Relationship Id="rId703" Type="http://schemas.openxmlformats.org/officeDocument/2006/relationships/hyperlink" Target="https://www.nhc.noaa.gov/data/mwreview/1989.pdf" TargetMode="External"/><Relationship Id="rId745" Type="http://schemas.openxmlformats.org/officeDocument/2006/relationships/hyperlink" Target="https://www.nhc.noaa.gov/data/tcr/AL132003_Isabel.pdf,%20https:/www.weather.gov/media/publications/assessments/isabel.pdf%20appendix%20B" TargetMode="External"/><Relationship Id="rId81" Type="http://schemas.openxmlformats.org/officeDocument/2006/relationships/hyperlink" Target="https://www.nhc.noaa.gov/data/mwreview/1990.pdf" TargetMode="External"/><Relationship Id="rId135" Type="http://schemas.openxmlformats.org/officeDocument/2006/relationships/hyperlink" Target="https://www.nhc.noaa.gov/data/tcr/AL082000_Ernesto.pdf" TargetMode="External"/><Relationship Id="rId177" Type="http://schemas.openxmlformats.org/officeDocument/2006/relationships/hyperlink" Target="https://www.nhc.noaa.gov/data/tcr/AL012004_Alex.pdf" TargetMode="External"/><Relationship Id="rId342" Type="http://schemas.openxmlformats.org/officeDocument/2006/relationships/hyperlink" Target="https://www.nhc.noaa.gov/data/tcr/AL082015_Henri.pdf" TargetMode="External"/><Relationship Id="rId384" Type="http://schemas.openxmlformats.org/officeDocument/2006/relationships/hyperlink" Target="https://www.nhc.noaa.gov/data/tcr/AL102018_Joyce.pdf" TargetMode="External"/><Relationship Id="rId591" Type="http://schemas.openxmlformats.org/officeDocument/2006/relationships/hyperlink" Target="https://www.nhc.noaa.gov/data/mwreview/1964.pdf" TargetMode="External"/><Relationship Id="rId605" Type="http://schemas.openxmlformats.org/officeDocument/2006/relationships/hyperlink" Target="https://www.nhc.noaa.gov/data/mwreview/1970.pdf" TargetMode="External"/><Relationship Id="rId202" Type="http://schemas.openxmlformats.org/officeDocument/2006/relationships/hyperlink" Target="https://www.nhc.noaa.gov/data/tcr/AL222005_Tammy.pdf" TargetMode="External"/><Relationship Id="rId244" Type="http://schemas.openxmlformats.org/officeDocument/2006/relationships/hyperlink" Target="https://www.nhc.noaa.gov/data/tcr/AL142008_Nana.pdf" TargetMode="External"/><Relationship Id="rId647" Type="http://schemas.openxmlformats.org/officeDocument/2006/relationships/hyperlink" Target="https://www.nhc.noaa.gov/data/mwreview/1979.pdf" TargetMode="External"/><Relationship Id="rId689" Type="http://schemas.openxmlformats.org/officeDocument/2006/relationships/hyperlink" Target="https://www.nhc.noaa.gov/data/mwreview/1985.pdf" TargetMode="External"/><Relationship Id="rId39" Type="http://schemas.openxmlformats.org/officeDocument/2006/relationships/hyperlink" Target="https://www.nhc.noaa.gov/data/mwreview/1971.pdf" TargetMode="External"/><Relationship Id="rId286" Type="http://schemas.openxmlformats.org/officeDocument/2006/relationships/hyperlink" Target="https://www.nhc.noaa.gov/data/tcr/AL102011_Ten.pdf" TargetMode="External"/><Relationship Id="rId451" Type="http://schemas.openxmlformats.org/officeDocument/2006/relationships/hyperlink" Target="https://www.nhc.noaa.gov/data/tcr/AL032022_Colin.pdf" TargetMode="External"/><Relationship Id="rId493" Type="http://schemas.openxmlformats.org/officeDocument/2006/relationships/hyperlink" Target="https://www.nhc.noaa.gov/data/tcr/AL142024_Milton.pdf" TargetMode="External"/><Relationship Id="rId507" Type="http://schemas.openxmlformats.org/officeDocument/2006/relationships/hyperlink" Target="https://www.nhc.noaa.gov/data/tcr/AL042024_Debby.pdf" TargetMode="External"/><Relationship Id="rId549" Type="http://schemas.openxmlformats.org/officeDocument/2006/relationships/hyperlink" Target="https://www.nhc.noaa.gov/data/tcr/AL021996_Bertha.pdf" TargetMode="External"/><Relationship Id="rId714" Type="http://schemas.openxmlformats.org/officeDocument/2006/relationships/hyperlink" Target="https://www.nhc.noaa.gov/data/mwreview/1993.pdf" TargetMode="External"/><Relationship Id="rId756" Type="http://schemas.openxmlformats.org/officeDocument/2006/relationships/hyperlink" Target="https://www.nhc.noaa.gov/data/tcr/AL082008_Hanna.pdf" TargetMode="External"/><Relationship Id="rId50" Type="http://schemas.openxmlformats.org/officeDocument/2006/relationships/hyperlink" Target="https://www.nhc.noaa.gov/data/mwreview/1973.pdf" TargetMode="External"/><Relationship Id="rId104" Type="http://schemas.openxmlformats.org/officeDocument/2006/relationships/hyperlink" Target="https://www.nhc.noaa.gov/data/tcr/AL071996_Gustav.pdf" TargetMode="External"/><Relationship Id="rId146" Type="http://schemas.openxmlformats.org/officeDocument/2006/relationships/hyperlink" Target="https://www.nhc.noaa.gov/data/tcr/AL072001_Felix.pdf" TargetMode="External"/><Relationship Id="rId188" Type="http://schemas.openxmlformats.org/officeDocument/2006/relationships/hyperlink" Target="https://www.nhc.noaa.gov/data/tcr/AL022005_Bret.pdf" TargetMode="External"/><Relationship Id="rId311" Type="http://schemas.openxmlformats.org/officeDocument/2006/relationships/hyperlink" Target="https://www.nhc.noaa.gov/data/tcr/AL192012_Tony.pdf" TargetMode="External"/><Relationship Id="rId353" Type="http://schemas.openxmlformats.org/officeDocument/2006/relationships/hyperlink" Target="https://www.nhc.noaa.gov/data/tcr/AL072016_Gaston.pdf" TargetMode="External"/><Relationship Id="rId395" Type="http://schemas.openxmlformats.org/officeDocument/2006/relationships/hyperlink" Target="https://www.nhc.noaa.gov/data/tcr/AL072019_Fernand.pdf" TargetMode="External"/><Relationship Id="rId409" Type="http://schemas.openxmlformats.org/officeDocument/2006/relationships/hyperlink" Target="https://www.nhc.noaa.gov/data/tcr/AL022020_Bertha.pdf" TargetMode="External"/><Relationship Id="rId560" Type="http://schemas.openxmlformats.org/officeDocument/2006/relationships/hyperlink" Target="https://www.nhc.noaa.gov/data/mwreview/1963.pdf" TargetMode="External"/><Relationship Id="rId92" Type="http://schemas.openxmlformats.org/officeDocument/2006/relationships/hyperlink" Target="https://www.nhc.noaa.gov/data/mwreview/1992.pdf" TargetMode="External"/><Relationship Id="rId213" Type="http://schemas.openxmlformats.org/officeDocument/2006/relationships/hyperlink" Target="https://www.nhc.noaa.gov/data/tcr/AL042006_Chris.pdf" TargetMode="External"/><Relationship Id="rId420" Type="http://schemas.openxmlformats.org/officeDocument/2006/relationships/hyperlink" Target="https://www.nhc.noaa.gov/data/tcr/AL162020_Nana.pdf" TargetMode="External"/><Relationship Id="rId616" Type="http://schemas.openxmlformats.org/officeDocument/2006/relationships/hyperlink" Target="https://www.nhc.noaa.gov/data/mwreview/1974.pdf" TargetMode="External"/><Relationship Id="rId658" Type="http://schemas.openxmlformats.org/officeDocument/2006/relationships/hyperlink" Target="https://www.nhc.noaa.gov/data/mwreview/1980.pdf" TargetMode="External"/><Relationship Id="rId255" Type="http://schemas.openxmlformats.org/officeDocument/2006/relationships/hyperlink" Target="https://www.nhc.noaa.gov/data/tcr/AL082009_Eight.pdf" TargetMode="External"/><Relationship Id="rId297" Type="http://schemas.openxmlformats.org/officeDocument/2006/relationships/hyperlink" Target="https://www.nhc.noaa.gov/data/tcr/AL032012_Chris.pdf" TargetMode="External"/><Relationship Id="rId462" Type="http://schemas.openxmlformats.org/officeDocument/2006/relationships/hyperlink" Target="https://www.nhc.noaa.gov/data/tcr/AL162022_Martin.pdf" TargetMode="External"/><Relationship Id="rId518" Type="http://schemas.openxmlformats.org/officeDocument/2006/relationships/hyperlink" Target="https://www.nhc.noaa.gov/data/tcr/AL072010_Earl.pdf" TargetMode="External"/><Relationship Id="rId725" Type="http://schemas.openxmlformats.org/officeDocument/2006/relationships/hyperlink" Target="https://www.nhc.noaa.gov/data/mwreview/1995.pdf" TargetMode="External"/><Relationship Id="rId115" Type="http://schemas.openxmlformats.org/officeDocument/2006/relationships/hyperlink" Target="https://www.nhc.noaa.gov/data/tcr/AL091997_Grace.pdf" TargetMode="External"/><Relationship Id="rId157" Type="http://schemas.openxmlformats.org/officeDocument/2006/relationships/hyperlink" Target="https://www.nhc.noaa.gov/data/tcr/AL032002_Cristobal.pdf" TargetMode="External"/><Relationship Id="rId322" Type="http://schemas.openxmlformats.org/officeDocument/2006/relationships/hyperlink" Target="https://www.nhc.noaa.gov/data/tcr/AL112013_Jerry.pdf" TargetMode="External"/><Relationship Id="rId364" Type="http://schemas.openxmlformats.org/officeDocument/2006/relationships/hyperlink" Target="https://www.nhc.noaa.gov/data/tcr/AL042017_Four.pdf" TargetMode="External"/><Relationship Id="rId61" Type="http://schemas.openxmlformats.org/officeDocument/2006/relationships/hyperlink" Target="https://www.nhc.noaa.gov/data/mwreview/1988.pdf" TargetMode="External"/><Relationship Id="rId199" Type="http://schemas.openxmlformats.org/officeDocument/2006/relationships/hyperlink" Target="https://www.nhc.noaa.gov/data/tcr/AL172005_Philippe.pdf" TargetMode="External"/><Relationship Id="rId571" Type="http://schemas.openxmlformats.org/officeDocument/2006/relationships/hyperlink" Target="https://www.nhc.noaa.gov/data/mwreview/1985.pdf" TargetMode="External"/><Relationship Id="rId627" Type="http://schemas.openxmlformats.org/officeDocument/2006/relationships/hyperlink" Target="https://www.nhc.noaa.gov/data/mwreview/1976.pdf" TargetMode="External"/><Relationship Id="rId669" Type="http://schemas.openxmlformats.org/officeDocument/2006/relationships/hyperlink" Target="https://www.nhc.noaa.gov/data/mwreview/1981.pdf" TargetMode="External"/><Relationship Id="rId19" Type="http://schemas.openxmlformats.org/officeDocument/2006/relationships/hyperlink" Target="https://www.nhc.noaa.gov/data/mwreview/1966.pdf" TargetMode="External"/><Relationship Id="rId224" Type="http://schemas.openxmlformats.org/officeDocument/2006/relationships/hyperlink" Target="https://www.nhc.noaa.gov/data/tcr/AL062007_Felix.pdf" TargetMode="External"/><Relationship Id="rId266" Type="http://schemas.openxmlformats.org/officeDocument/2006/relationships/hyperlink" Target="https://www.nhc.noaa.gov/data/tcr/AL092010_Gaston.pdf" TargetMode="External"/><Relationship Id="rId431" Type="http://schemas.openxmlformats.org/officeDocument/2006/relationships/hyperlink" Target="https://www.nhc.noaa.gov/data/tcr/AL312020_Iota.pdf" TargetMode="External"/><Relationship Id="rId473" Type="http://schemas.openxmlformats.org/officeDocument/2006/relationships/hyperlink" Target="https://www.nhc.noaa.gov/data/tcr/AL122023_Katia.pdf" TargetMode="External"/><Relationship Id="rId529" Type="http://schemas.openxmlformats.org/officeDocument/2006/relationships/hyperlink" Target="https://www.nhc.noaa.gov/data/tcr/AL112019_Imelda.pdf" TargetMode="External"/><Relationship Id="rId680" Type="http://schemas.openxmlformats.org/officeDocument/2006/relationships/hyperlink" Target="https://www.nhc.noaa.gov/data/mwreview/1984.pdf" TargetMode="External"/><Relationship Id="rId736" Type="http://schemas.openxmlformats.org/officeDocument/2006/relationships/hyperlink" Target="https://www.nhc.noaa.gov/data/tcr/AL122000_Helene.pdf" TargetMode="External"/><Relationship Id="rId30" Type="http://schemas.openxmlformats.org/officeDocument/2006/relationships/hyperlink" Target="https://www.aoml.noaa.gov/general/lib/lib1/nhclib/mwreviews/1968.pdf" TargetMode="External"/><Relationship Id="rId126" Type="http://schemas.openxmlformats.org/officeDocument/2006/relationships/hyperlink" Target="https://www.nhc.noaa.gov/data/tcr/AL061999_Emily.pdf" TargetMode="External"/><Relationship Id="rId168" Type="http://schemas.openxmlformats.org/officeDocument/2006/relationships/hyperlink" Target="https://www.nhc.noaa.gov/data/tcr/AL112003_Grace.pdf" TargetMode="External"/><Relationship Id="rId333" Type="http://schemas.openxmlformats.org/officeDocument/2006/relationships/hyperlink" Target="https://www.nhc.noaa.gov/data/tcr/AL082014_Gonzalo.pdf" TargetMode="External"/><Relationship Id="rId540" Type="http://schemas.openxmlformats.org/officeDocument/2006/relationships/hyperlink" Target="https://www.nhc.noaa.gov/data/mwreview/1979.pdf" TargetMode="External"/><Relationship Id="rId72" Type="http://schemas.openxmlformats.org/officeDocument/2006/relationships/hyperlink" Target="https://www.nhc.noaa.gov/data/mwreview/1990.pdf" TargetMode="External"/><Relationship Id="rId375" Type="http://schemas.openxmlformats.org/officeDocument/2006/relationships/hyperlink" Target="https://www.nhc.noaa.gov/data/tcr/AL192017_Rina.pdf" TargetMode="External"/><Relationship Id="rId582" Type="http://schemas.openxmlformats.org/officeDocument/2006/relationships/hyperlink" Target="https://journals.ametsoc.org/view/journals/bams/81/9/1520-0477_2000_081_2065_lolitu_2_3_co_2.xml?tab_body=pdf" TargetMode="External"/><Relationship Id="rId638" Type="http://schemas.openxmlformats.org/officeDocument/2006/relationships/hyperlink" Target="https://www.nhc.noaa.gov/data/mwreview/1978.pdf" TargetMode="External"/><Relationship Id="rId3" Type="http://schemas.openxmlformats.org/officeDocument/2006/relationships/hyperlink" Target="https://www.nhc.noaa.gov/data/mwreview/1963.pdf" TargetMode="External"/><Relationship Id="rId235" Type="http://schemas.openxmlformats.org/officeDocument/2006/relationships/hyperlink" Target="https://www.nhc.noaa.gov/data/tcr/AL012008_Arthur.pdf" TargetMode="External"/><Relationship Id="rId277" Type="http://schemas.openxmlformats.org/officeDocument/2006/relationships/hyperlink" Target="https://www.nhc.noaa.gov/data/tcr/AL212010_Tomas.pdf" TargetMode="External"/><Relationship Id="rId400" Type="http://schemas.openxmlformats.org/officeDocument/2006/relationships/hyperlink" Target="https://www.nhc.noaa.gov/data/tcr/AL132019_Lorenzo.pdf" TargetMode="External"/><Relationship Id="rId442" Type="http://schemas.openxmlformats.org/officeDocument/2006/relationships/hyperlink" Target="https://www.nhc.noaa.gov/data/tcr/AL152021_Odette.pdf" TargetMode="External"/><Relationship Id="rId484" Type="http://schemas.openxmlformats.org/officeDocument/2006/relationships/hyperlink" Target="https://www.nhc.noaa.gov/data/tcr/AL032024_Chris.pdf" TargetMode="External"/><Relationship Id="rId705" Type="http://schemas.openxmlformats.org/officeDocument/2006/relationships/hyperlink" Target="https://www.nhc.noaa.gov/data/mwreview/1989.pdf" TargetMode="External"/><Relationship Id="rId137" Type="http://schemas.openxmlformats.org/officeDocument/2006/relationships/hyperlink" Target="https://www.nhc.noaa.gov/data/tcr/AL132000_Isaac.pdf" TargetMode="External"/><Relationship Id="rId302" Type="http://schemas.openxmlformats.org/officeDocument/2006/relationships/hyperlink" Target="https://www.nhc.noaa.gov/data/tcr/AL082012_Gordon.pdf" TargetMode="External"/><Relationship Id="rId344" Type="http://schemas.openxmlformats.org/officeDocument/2006/relationships/hyperlink" Target="https://www.nhc.noaa.gov/data/tcr/AL102015_Ida.pdf" TargetMode="External"/><Relationship Id="rId691" Type="http://schemas.openxmlformats.org/officeDocument/2006/relationships/hyperlink" Target="https://www.nhc.noaa.gov/data/mwreview/1985.pdf" TargetMode="External"/><Relationship Id="rId747" Type="http://schemas.openxmlformats.org/officeDocument/2006/relationships/hyperlink" Target="https://www.nhc.noaa.gov/data/tcr/AL112004_Jeanne.pdf" TargetMode="External"/><Relationship Id="rId41" Type="http://schemas.openxmlformats.org/officeDocument/2006/relationships/hyperlink" Target="https://www.nhc.noaa.gov/data/mwreview/1971.pdf" TargetMode="External"/><Relationship Id="rId83" Type="http://schemas.openxmlformats.org/officeDocument/2006/relationships/hyperlink" Target="https://www.nhc.noaa.gov/data/mwreview/1990.pdf" TargetMode="External"/><Relationship Id="rId179" Type="http://schemas.openxmlformats.org/officeDocument/2006/relationships/hyperlink" Target="https://www.nhc.noaa.gov/data/tcr/AL042004_Danielle.pdf" TargetMode="External"/><Relationship Id="rId386" Type="http://schemas.openxmlformats.org/officeDocument/2006/relationships/hyperlink" Target="https://www.nhc.noaa.gov/data/tcr/AL122018_Kirk.pdf" TargetMode="External"/><Relationship Id="rId551" Type="http://schemas.openxmlformats.org/officeDocument/2006/relationships/hyperlink" Target="https://www.nhc.noaa.gov/data/tcr/AL051997_Danny.pdf" TargetMode="External"/><Relationship Id="rId593" Type="http://schemas.openxmlformats.org/officeDocument/2006/relationships/hyperlink" Target="https://www.nhc.noaa.gov/data/mwreview/1965.pdf" TargetMode="External"/><Relationship Id="rId607" Type="http://schemas.openxmlformats.org/officeDocument/2006/relationships/hyperlink" Target="https://www.nhc.noaa.gov/data/mwreview/1970.pdf" TargetMode="External"/><Relationship Id="rId649" Type="http://schemas.openxmlformats.org/officeDocument/2006/relationships/hyperlink" Target="https://www.nhc.noaa.gov/data/mwreview/1979.pdf" TargetMode="External"/><Relationship Id="rId190" Type="http://schemas.openxmlformats.org/officeDocument/2006/relationships/hyperlink" Target="https://www.nhc.noaa.gov/data/tcr/AL062005_Franklin.pdf" TargetMode="External"/><Relationship Id="rId204" Type="http://schemas.openxmlformats.org/officeDocument/2006/relationships/hyperlink" Target="https://www.nhc.noaa.gov/data/tcr/AL242005_Vince.pdf" TargetMode="External"/><Relationship Id="rId246" Type="http://schemas.openxmlformats.org/officeDocument/2006/relationships/hyperlink" Target="https://www.nhc.noaa.gov/data/tcr/AL162008_Sixteen.pdf" TargetMode="External"/><Relationship Id="rId288" Type="http://schemas.openxmlformats.org/officeDocument/2006/relationships/hyperlink" Target="https://www.nhc.noaa.gov/data/tcr/AL122011_Katia.pdf" TargetMode="External"/><Relationship Id="rId411" Type="http://schemas.openxmlformats.org/officeDocument/2006/relationships/hyperlink" Target="https://www.nhc.noaa.gov/data/tcr/AL042020_Dolly.pdf" TargetMode="External"/><Relationship Id="rId453" Type="http://schemas.openxmlformats.org/officeDocument/2006/relationships/hyperlink" Target="https://www.nhc.noaa.gov/data/tcr/AL062022_Earl.pdf" TargetMode="External"/><Relationship Id="rId509" Type="http://schemas.openxmlformats.org/officeDocument/2006/relationships/hyperlink" Target="https://www.nhc.noaa.gov/data/tcr/AL102023_Idalia.pdf" TargetMode="External"/><Relationship Id="rId660" Type="http://schemas.openxmlformats.org/officeDocument/2006/relationships/hyperlink" Target="https://www.nhc.noaa.gov/data/mwreview/1980.pdf" TargetMode="External"/><Relationship Id="rId106" Type="http://schemas.openxmlformats.org/officeDocument/2006/relationships/hyperlink" Target="https://www.nhc.noaa.gov/data/tcr/AL091996_Isidore.pdf" TargetMode="External"/><Relationship Id="rId313" Type="http://schemas.openxmlformats.org/officeDocument/2006/relationships/hyperlink" Target="https://www.nhc.noaa.gov/data/tcr/AL022013_Barry.pdf" TargetMode="External"/><Relationship Id="rId495" Type="http://schemas.openxmlformats.org/officeDocument/2006/relationships/hyperlink" Target="https://www.nhc.noaa.gov/data/tcr/AL162024_Oscar.pdf" TargetMode="External"/><Relationship Id="rId716" Type="http://schemas.openxmlformats.org/officeDocument/2006/relationships/hyperlink" Target="https://www.nhc.noaa.gov/data/mwreview/1994.pdf" TargetMode="External"/><Relationship Id="rId758" Type="http://schemas.openxmlformats.org/officeDocument/2006/relationships/hyperlink" Target="https://www.nhc.noaa.gov/data/tcr/AL092017_Harvey.pdf" TargetMode="External"/><Relationship Id="rId10" Type="http://schemas.openxmlformats.org/officeDocument/2006/relationships/hyperlink" Target="https://www.nhc.noaa.gov/data/mwreview/1965.pdf" TargetMode="External"/><Relationship Id="rId52" Type="http://schemas.openxmlformats.org/officeDocument/2006/relationships/hyperlink" Target="https://www.nhc.noaa.gov/data/mwreview/1985.pdf" TargetMode="External"/><Relationship Id="rId94" Type="http://schemas.openxmlformats.org/officeDocument/2006/relationships/hyperlink" Target="https://www.nhc.noaa.gov/data/mwreview/1992.pdf" TargetMode="External"/><Relationship Id="rId148" Type="http://schemas.openxmlformats.org/officeDocument/2006/relationships/hyperlink" Target="https://www.nhc.noaa.gov/data/tcr/AL112001_Iris.pdf" TargetMode="External"/><Relationship Id="rId355" Type="http://schemas.openxmlformats.org/officeDocument/2006/relationships/hyperlink" Target="https://www.nhc.noaa.gov/data/tcr/AL102016_Ian.pdf" TargetMode="External"/><Relationship Id="rId397" Type="http://schemas.openxmlformats.org/officeDocument/2006/relationships/hyperlink" Target="https://www.nhc.noaa.gov/data/tcr/AL092019_Humberto.pdf" TargetMode="External"/><Relationship Id="rId520" Type="http://schemas.openxmlformats.org/officeDocument/2006/relationships/hyperlink" Target="https://www.nhc.noaa.gov/data/tcr/AL092011_Irene.pdf" TargetMode="External"/><Relationship Id="rId562" Type="http://schemas.openxmlformats.org/officeDocument/2006/relationships/hyperlink" Target="https://www.nhc.noaa.gov/data/tcr/AL072004_Gaston.pdf" TargetMode="External"/><Relationship Id="rId618" Type="http://schemas.openxmlformats.org/officeDocument/2006/relationships/hyperlink" Target="https://www.nhc.noaa.gov/data/mwreview/1975.pdf" TargetMode="External"/><Relationship Id="rId215" Type="http://schemas.openxmlformats.org/officeDocument/2006/relationships/hyperlink" Target="https://www.nhc.noaa.gov/data/tcr/AL072006_Florence.pdf" TargetMode="External"/><Relationship Id="rId257" Type="http://schemas.openxmlformats.org/officeDocument/2006/relationships/hyperlink" Target="https://www.nhc.noaa.gov/data/tcr/AL102009_Henri.pdf" TargetMode="External"/><Relationship Id="rId422" Type="http://schemas.openxmlformats.org/officeDocument/2006/relationships/hyperlink" Target="https://www.nhc.noaa.gov/data/tcr/AL182020_Rene.pdf" TargetMode="External"/><Relationship Id="rId464" Type="http://schemas.openxmlformats.org/officeDocument/2006/relationships/hyperlink" Target="https://www.nhc.noaa.gov/data/tcr/AL022023_Arlene.pdf" TargetMode="External"/><Relationship Id="rId299" Type="http://schemas.openxmlformats.org/officeDocument/2006/relationships/hyperlink" Target="https://www.nhc.noaa.gov/data/tcr/AL052012_Ernesto.pdf" TargetMode="External"/><Relationship Id="rId727" Type="http://schemas.openxmlformats.org/officeDocument/2006/relationships/hyperlink" Target="https://www.nhc.noaa.gov/data/mwreview/1995.pdf" TargetMode="External"/><Relationship Id="rId63" Type="http://schemas.openxmlformats.org/officeDocument/2006/relationships/hyperlink" Target="https://www.nhc.noaa.gov/data/mwreview/1988.pdf" TargetMode="External"/><Relationship Id="rId159" Type="http://schemas.openxmlformats.org/officeDocument/2006/relationships/hyperlink" Target="https://www.nhc.noaa.gov/data/tcr/AL052002_Edouard.pdf" TargetMode="External"/><Relationship Id="rId366" Type="http://schemas.openxmlformats.org/officeDocument/2006/relationships/hyperlink" Target="https://www.nhc.noaa.gov/data/tcr/AL062017_Emily.pdf" TargetMode="External"/><Relationship Id="rId573" Type="http://schemas.openxmlformats.org/officeDocument/2006/relationships/hyperlink" Target="https://journals.ametsoc.org/view/journals/bams/81/9/1520-0477_2000_081_2065_lolitu_2_3_co_2.xml?tab_body=pdf" TargetMode="External"/><Relationship Id="rId226" Type="http://schemas.openxmlformats.org/officeDocument/2006/relationships/hyperlink" Target="https://www.nhc.noaa.gov/data/tcr/AL082007_Ingrid.pdf" TargetMode="External"/><Relationship Id="rId433" Type="http://schemas.openxmlformats.org/officeDocument/2006/relationships/hyperlink" Target="https://www.nhc.noaa.gov/data/tcr/AL022021_Bill.pdf" TargetMode="External"/><Relationship Id="rId640" Type="http://schemas.openxmlformats.org/officeDocument/2006/relationships/hyperlink" Target="https://www.nhc.noaa.gov/data/mwreview/1978.pdf" TargetMode="External"/><Relationship Id="rId738" Type="http://schemas.openxmlformats.org/officeDocument/2006/relationships/hyperlink" Target="https://www.nhc.noaa.gov/data/tcr/AL032001_Barry.pdf" TargetMode="External"/><Relationship Id="rId74" Type="http://schemas.openxmlformats.org/officeDocument/2006/relationships/hyperlink" Target="https://www.nhc.noaa.gov/data/mwreview/1990.pdf" TargetMode="External"/><Relationship Id="rId377" Type="http://schemas.openxmlformats.org/officeDocument/2006/relationships/hyperlink" Target="https://www.nhc.noaa.gov/data/tcr/AL022018_Beryl.pdf" TargetMode="External"/><Relationship Id="rId500" Type="http://schemas.openxmlformats.org/officeDocument/2006/relationships/hyperlink" Target="https://www.nhc.noaa.gov/data/mwreview/1972.pdf" TargetMode="External"/><Relationship Id="rId584" Type="http://schemas.openxmlformats.org/officeDocument/2006/relationships/hyperlink" Target="https://www.aoml.noaa.gov/hrd/hurdat/mwr_pdf/2008.pdf" TargetMode="External"/><Relationship Id="rId5" Type="http://schemas.openxmlformats.org/officeDocument/2006/relationships/hyperlink" Target="https://www.nhc.noaa.gov/data/mwreview/1963.pdf" TargetMode="External"/><Relationship Id="rId237" Type="http://schemas.openxmlformats.org/officeDocument/2006/relationships/hyperlink" Target="https://www.nhc.noaa.gov/data/tcr/AL032008_Cristobal.pdf" TargetMode="External"/><Relationship Id="rId444" Type="http://schemas.openxmlformats.org/officeDocument/2006/relationships/hyperlink" Target="https://www.nhc.noaa.gov/data/tcr/AL172021_Rose.pdf" TargetMode="External"/><Relationship Id="rId651" Type="http://schemas.openxmlformats.org/officeDocument/2006/relationships/hyperlink" Target="https://www.nhc.noaa.gov/data/mwreview/1980.pdf" TargetMode="External"/><Relationship Id="rId749" Type="http://schemas.openxmlformats.org/officeDocument/2006/relationships/hyperlink" Target="https://www.nhc.noaa.gov/data/tcr/AL162005_Ophelia.pdf" TargetMode="External"/><Relationship Id="rId290" Type="http://schemas.openxmlformats.org/officeDocument/2006/relationships/hyperlink" Target="https://www.nhc.noaa.gov/data/tcr/AL152011_Nate.pdf" TargetMode="External"/><Relationship Id="rId304" Type="http://schemas.openxmlformats.org/officeDocument/2006/relationships/hyperlink" Target="https://www.nhc.noaa.gov/data/tcr/AL112012_Kirk.pdf" TargetMode="External"/><Relationship Id="rId388" Type="http://schemas.openxmlformats.org/officeDocument/2006/relationships/hyperlink" Target="https://www.nhc.noaa.gov/data/tcr/AL152018_Nadine.pdf" TargetMode="External"/><Relationship Id="rId511" Type="http://schemas.openxmlformats.org/officeDocument/2006/relationships/hyperlink" Target="https://www.nhc.noaa.gov/data/mwreview/1963.pdf" TargetMode="External"/><Relationship Id="rId609" Type="http://schemas.openxmlformats.org/officeDocument/2006/relationships/hyperlink" Target="https://www.nhc.noaa.gov/data/mwreview/1971.pdf" TargetMode="External"/><Relationship Id="rId85" Type="http://schemas.openxmlformats.org/officeDocument/2006/relationships/hyperlink" Target="https://www.nhc.noaa.gov/data/mwreview/1991.pdf" TargetMode="External"/><Relationship Id="rId150" Type="http://schemas.openxmlformats.org/officeDocument/2006/relationships/hyperlink" Target="https://www.nhc.noaa.gov/data/tcr/AL132001_Karen.pdf" TargetMode="External"/><Relationship Id="rId595" Type="http://schemas.openxmlformats.org/officeDocument/2006/relationships/hyperlink" Target="https://www.nhc.noaa.gov/data/mwreview/1969.pdf" TargetMode="External"/><Relationship Id="rId248" Type="http://schemas.openxmlformats.org/officeDocument/2006/relationships/hyperlink" Target="https://www.nhc.noaa.gov/data/tcr/AL012009_One.pdf" TargetMode="External"/><Relationship Id="rId455" Type="http://schemas.openxmlformats.org/officeDocument/2006/relationships/hyperlink" Target="https://www.nhc.noaa.gov/data/tcr/AL082022_Gaston.pdf" TargetMode="External"/><Relationship Id="rId662" Type="http://schemas.openxmlformats.org/officeDocument/2006/relationships/hyperlink" Target="https://www.nhc.noaa.gov/data/mwreview/1981.pdf" TargetMode="External"/><Relationship Id="rId12" Type="http://schemas.openxmlformats.org/officeDocument/2006/relationships/hyperlink" Target="https://www.nhc.noaa.gov/data/mwreview/1966.pdf" TargetMode="External"/><Relationship Id="rId108" Type="http://schemas.openxmlformats.org/officeDocument/2006/relationships/hyperlink" Target="https://www.nhc.noaa.gov/data/tcr/AL121996_Lili.pdf" TargetMode="External"/><Relationship Id="rId315" Type="http://schemas.openxmlformats.org/officeDocument/2006/relationships/hyperlink" Target="https://www.nhc.noaa.gov/data/tcr/AL042013_Dorian.pdf" TargetMode="External"/><Relationship Id="rId522" Type="http://schemas.openxmlformats.org/officeDocument/2006/relationships/hyperlink" Target="https://www.nhc.noaa.gov/data/tcr/AL092012_Isaac.pdf" TargetMode="External"/><Relationship Id="rId96" Type="http://schemas.openxmlformats.org/officeDocument/2006/relationships/hyperlink" Target="https://www.nhc.noaa.gov/data/mwreview/1995.pdf" TargetMode="External"/><Relationship Id="rId161" Type="http://schemas.openxmlformats.org/officeDocument/2006/relationships/hyperlink" Target="https://www.nhc.noaa.gov/data/tcr/AL082002_Gustav.pdf" TargetMode="External"/><Relationship Id="rId399" Type="http://schemas.openxmlformats.org/officeDocument/2006/relationships/hyperlink" Target="https://www.nhc.noaa.gov/data/tcr/AL122019_Karen.pdf" TargetMode="External"/><Relationship Id="rId259" Type="http://schemas.openxmlformats.org/officeDocument/2006/relationships/hyperlink" Target="https://www.nhc.noaa.gov/data/tcr/AL012010_Alex.pdf" TargetMode="External"/><Relationship Id="rId466" Type="http://schemas.openxmlformats.org/officeDocument/2006/relationships/hyperlink" Target="https://www.nhc.noaa.gov/data/tcr/AL042023_Cindy.pdf" TargetMode="External"/><Relationship Id="rId673" Type="http://schemas.openxmlformats.org/officeDocument/2006/relationships/hyperlink" Target="https://www.nhc.noaa.gov/data/mwreview/1982.pdf" TargetMode="External"/><Relationship Id="rId23" Type="http://schemas.openxmlformats.org/officeDocument/2006/relationships/hyperlink" Target="https://www.nhc.noaa.gov/data/mwreview/1967.pdf" TargetMode="External"/><Relationship Id="rId119" Type="http://schemas.openxmlformats.org/officeDocument/2006/relationships/hyperlink" Target="https://www.nhc.noaa.gov/data/tcr/AL091998_Ivan.pdf" TargetMode="External"/><Relationship Id="rId326" Type="http://schemas.openxmlformats.org/officeDocument/2006/relationships/hyperlink" Target="https://www.nhc.noaa.gov/data/tcr/AL012014_Arthur.pdf" TargetMode="External"/><Relationship Id="rId533" Type="http://schemas.openxmlformats.org/officeDocument/2006/relationships/hyperlink" Target="https://www.nhc.noaa.gov/data/mwreview/1970.pdf" TargetMode="External"/><Relationship Id="rId740" Type="http://schemas.openxmlformats.org/officeDocument/2006/relationships/hyperlink" Target="https://www.nhc.noaa.gov/data/tcr/AL092002_Hanna.pdf" TargetMode="External"/><Relationship Id="rId172" Type="http://schemas.openxmlformats.org/officeDocument/2006/relationships/hyperlink" Target="https://www.nhc.noaa.gov/data/tcr/AL172003_Larry.pdf" TargetMode="External"/><Relationship Id="rId477" Type="http://schemas.openxmlformats.org/officeDocument/2006/relationships/hyperlink" Target="https://www.nhc.noaa.gov/data/tcr/AL162023_Ophelia.pdf" TargetMode="External"/><Relationship Id="rId600" Type="http://schemas.openxmlformats.org/officeDocument/2006/relationships/hyperlink" Target="https://www.nhc.noaa.gov/data/mwreview/1969.pdf" TargetMode="External"/><Relationship Id="rId684" Type="http://schemas.openxmlformats.org/officeDocument/2006/relationships/hyperlink" Target="https://www.nhc.noaa.gov/data/mwreview/1984.pdf" TargetMode="External"/><Relationship Id="rId337" Type="http://schemas.openxmlformats.org/officeDocument/2006/relationships/hyperlink" Target="https://www.nhc.noaa.gov/data/tcr/AL032015_Claudette.pdf" TargetMode="External"/><Relationship Id="rId34" Type="http://schemas.openxmlformats.org/officeDocument/2006/relationships/hyperlink" Target="https://www.aoml.noaa.gov/general/lib/lib1/nhclib/mwreviews/1968.pdf" TargetMode="External"/><Relationship Id="rId544" Type="http://schemas.openxmlformats.org/officeDocument/2006/relationships/hyperlink" Target="https://www.nhc.noaa.gov/data/mwreview/1983.pdf" TargetMode="External"/><Relationship Id="rId751" Type="http://schemas.openxmlformats.org/officeDocument/2006/relationships/hyperlink" Target="https://www.nhc.noaa.gov/data/tcr/AL252005_Wilma.pdf" TargetMode="External"/><Relationship Id="rId183" Type="http://schemas.openxmlformats.org/officeDocument/2006/relationships/hyperlink" Target="https://www.nhc.noaa.gov/data/tcr/AL132004_Lisa.pdf" TargetMode="External"/><Relationship Id="rId390" Type="http://schemas.openxmlformats.org/officeDocument/2006/relationships/hyperlink" Target="https://www.nhc.noaa.gov/data/tcr/AL012019_Andrea.pdf" TargetMode="External"/><Relationship Id="rId404" Type="http://schemas.openxmlformats.org/officeDocument/2006/relationships/hyperlink" Target="https://www.nhc.noaa.gov/data/tcr/AL172019_Olga.pdf" TargetMode="External"/><Relationship Id="rId611" Type="http://schemas.openxmlformats.org/officeDocument/2006/relationships/hyperlink" Target="https://www.nhc.noaa.gov/data/mwreview/1972.pdf" TargetMode="External"/><Relationship Id="rId250" Type="http://schemas.openxmlformats.org/officeDocument/2006/relationships/hyperlink" Target="https://www.nhc.noaa.gov/data/tcr/AL032009_Bill.pdf" TargetMode="External"/><Relationship Id="rId488" Type="http://schemas.openxmlformats.org/officeDocument/2006/relationships/hyperlink" Target="https://www.nhc.noaa.gov/data/tcr/AL092024_Helene.pdf" TargetMode="External"/><Relationship Id="rId695" Type="http://schemas.openxmlformats.org/officeDocument/2006/relationships/hyperlink" Target="https://www.nhc.noaa.gov/data/mwreview/1986.pdf" TargetMode="External"/><Relationship Id="rId709" Type="http://schemas.openxmlformats.org/officeDocument/2006/relationships/hyperlink" Target="https://www.nhc.noaa.gov/data/mwreview/1993.pdf" TargetMode="External"/><Relationship Id="rId45" Type="http://schemas.openxmlformats.org/officeDocument/2006/relationships/hyperlink" Target="https://www.nhc.noaa.gov/data/mwreview/1973.pdf" TargetMode="External"/><Relationship Id="rId110" Type="http://schemas.openxmlformats.org/officeDocument/2006/relationships/hyperlink" Target="https://www.nhc.noaa.gov/data/tcr/AL021997_Ana.pdf" TargetMode="External"/><Relationship Id="rId348" Type="http://schemas.openxmlformats.org/officeDocument/2006/relationships/hyperlink" Target="https://www.nhc.noaa.gov/data/tcr/AL022016_Bonnie.pdf" TargetMode="External"/><Relationship Id="rId555" Type="http://schemas.openxmlformats.org/officeDocument/2006/relationships/hyperlink" Target="https://www.nhc.noaa.gov/data/tcr/AL071998_Georges.pdf" TargetMode="External"/><Relationship Id="rId194" Type="http://schemas.openxmlformats.org/officeDocument/2006/relationships/hyperlink" Target="https://www.nhc.noaa.gov/data/tcr/AL102005_Ten.pdf" TargetMode="External"/><Relationship Id="rId208" Type="http://schemas.openxmlformats.org/officeDocument/2006/relationships/hyperlink" Target="https://www.nhc.noaa.gov/data/tcr/AL292005_Delta.pdf" TargetMode="External"/><Relationship Id="rId415" Type="http://schemas.openxmlformats.org/officeDocument/2006/relationships/hyperlink" Target="https://www.nhc.noaa.gov/data/tcr/AL102020_Ten.pdf" TargetMode="External"/><Relationship Id="rId622" Type="http://schemas.openxmlformats.org/officeDocument/2006/relationships/hyperlink" Target="https://www.nhc.noaa.gov/data/mwreview/1975.pdf" TargetMode="External"/><Relationship Id="rId261" Type="http://schemas.openxmlformats.org/officeDocument/2006/relationships/hyperlink" Target="https://www.nhc.noaa.gov/data/tcr/AL032010_Bonnie.pdf" TargetMode="External"/><Relationship Id="rId499" Type="http://schemas.openxmlformats.org/officeDocument/2006/relationships/hyperlink" Target="https://www.nhc.noaa.gov/data/tcr/AL142016_Matthew.pdf" TargetMode="External"/><Relationship Id="rId56" Type="http://schemas.openxmlformats.org/officeDocument/2006/relationships/hyperlink" Target="https://www.nhc.noaa.gov/data/mwreview/1987.pdf" TargetMode="External"/><Relationship Id="rId359" Type="http://schemas.openxmlformats.org/officeDocument/2006/relationships/hyperlink" Target="https://www.nhc.noaa.gov/data/tcr/AL152016_Nicole.pdf" TargetMode="External"/><Relationship Id="rId566" Type="http://schemas.openxmlformats.org/officeDocument/2006/relationships/hyperlink" Target="https://journals.ametsoc.org/view/journals/bams/81/9/1520-0477_2000_081_2065_lolitu_2_3_co_2.xml?tab_body=pdF" TargetMode="External"/><Relationship Id="rId121" Type="http://schemas.openxmlformats.org/officeDocument/2006/relationships/hyperlink" Target="https://www.nhc.noaa.gov/data/tcr/AL111998_Karl.pdf" TargetMode="External"/><Relationship Id="rId219" Type="http://schemas.openxmlformats.org/officeDocument/2006/relationships/hyperlink" Target="https://www.nhc.noaa.gov/data/tcr/AL012007_Andrea.pdf" TargetMode="External"/><Relationship Id="rId426" Type="http://schemas.openxmlformats.org/officeDocument/2006/relationships/hyperlink" Target="https://www.nhc.noaa.gov/data/tcr/AL232020_Wilfred.pdf" TargetMode="External"/><Relationship Id="rId633" Type="http://schemas.openxmlformats.org/officeDocument/2006/relationships/hyperlink" Target="https://www.nhc.noaa.gov/data/mwreview/1977.pdf" TargetMode="External"/><Relationship Id="rId67" Type="http://schemas.openxmlformats.org/officeDocument/2006/relationships/hyperlink" Target="https://www.nhc.noaa.gov/data/mwreview/1988.pdf" TargetMode="External"/><Relationship Id="rId272" Type="http://schemas.openxmlformats.org/officeDocument/2006/relationships/hyperlink" Target="https://www.nhc.noaa.gov/data/tcr/AL162010_Nicole.pdf" TargetMode="External"/><Relationship Id="rId577" Type="http://schemas.openxmlformats.org/officeDocument/2006/relationships/hyperlink" Target="https://www.nhc.noaa.gov/data/mwreview/1995.pdf" TargetMode="External"/><Relationship Id="rId700" Type="http://schemas.openxmlformats.org/officeDocument/2006/relationships/hyperlink" Target="https://www.nhc.noaa.gov/data/mwreview/1988.pdf" TargetMode="External"/><Relationship Id="rId132" Type="http://schemas.openxmlformats.org/officeDocument/2006/relationships/hyperlink" Target="https://www.nhc.noaa.gov/data/tcr/AL052000_Beryl.pdf" TargetMode="External"/><Relationship Id="rId437" Type="http://schemas.openxmlformats.org/officeDocument/2006/relationships/hyperlink" Target="https://www.nhc.noaa.gov/data/tcr/AL082021_Henri.pdf" TargetMode="External"/><Relationship Id="rId644" Type="http://schemas.openxmlformats.org/officeDocument/2006/relationships/hyperlink" Target="https://www.nhc.noaa.gov/data/mwreview/1978.pdf" TargetMode="External"/><Relationship Id="rId283" Type="http://schemas.openxmlformats.org/officeDocument/2006/relationships/hyperlink" Target="https://www.nhc.noaa.gov/data/tcr/AL062011_Franklin.pdf" TargetMode="External"/><Relationship Id="rId490" Type="http://schemas.openxmlformats.org/officeDocument/2006/relationships/hyperlink" Target="https://www.nhc.noaa.gov/data/tcr/AL112024_Joyce.pdf" TargetMode="External"/><Relationship Id="rId504" Type="http://schemas.openxmlformats.org/officeDocument/2006/relationships/hyperlink" Target="https://www.nhc.noaa.gov/data/mwreview/1983.pdf" TargetMode="External"/><Relationship Id="rId711" Type="http://schemas.openxmlformats.org/officeDocument/2006/relationships/hyperlink" Target="https://www.nhc.noaa.gov/data/mwreview/1993.pdf" TargetMode="External"/><Relationship Id="rId78" Type="http://schemas.openxmlformats.org/officeDocument/2006/relationships/hyperlink" Target="https://www.nhc.noaa.gov/data/mwreview/1990.pdf" TargetMode="External"/><Relationship Id="rId143" Type="http://schemas.openxmlformats.org/officeDocument/2006/relationships/hyperlink" Target="https://www.nhc.noaa.gov/data/tcr/AL042001_Chantal.pdf" TargetMode="External"/><Relationship Id="rId350" Type="http://schemas.openxmlformats.org/officeDocument/2006/relationships/hyperlink" Target="https://www.nhc.noaa.gov/data/tcr/AL042016_Danielle.pdf" TargetMode="External"/><Relationship Id="rId588" Type="http://schemas.openxmlformats.org/officeDocument/2006/relationships/hyperlink" Target="https://www.nhc.noaa.gov/data/mwreview/1964.pdf" TargetMode="External"/><Relationship Id="rId9" Type="http://schemas.openxmlformats.org/officeDocument/2006/relationships/hyperlink" Target="https://www.nhc.noaa.gov/data/mwreview/1965.pdf" TargetMode="External"/><Relationship Id="rId210" Type="http://schemas.openxmlformats.org/officeDocument/2006/relationships/hyperlink" Target="https://www.nhc.noaa.gov/data/tcr/AL312005_Zeta.pdf" TargetMode="External"/><Relationship Id="rId448" Type="http://schemas.openxmlformats.org/officeDocument/2006/relationships/hyperlink" Target="https://www.nhc.noaa.gov/data/tcr/AL212021_Wanda.pdf" TargetMode="External"/><Relationship Id="rId655" Type="http://schemas.openxmlformats.org/officeDocument/2006/relationships/hyperlink" Target="https://www.nhc.noaa.gov/data/mwreview/1980.pdf" TargetMode="External"/><Relationship Id="rId294" Type="http://schemas.openxmlformats.org/officeDocument/2006/relationships/hyperlink" Target="https://www.nhc.noaa.gov/data/tcr/AL192011_Sean.pdf" TargetMode="External"/><Relationship Id="rId308" Type="http://schemas.openxmlformats.org/officeDocument/2006/relationships/hyperlink" Target="https://www.nhc.noaa.gov/data/tcr/AL152012_Oscar.pdf" TargetMode="External"/><Relationship Id="rId515" Type="http://schemas.openxmlformats.org/officeDocument/2006/relationships/hyperlink" Target="https://www.nhc.noaa.gov/data/tcr/AL052021_Elsa.pdf" TargetMode="External"/><Relationship Id="rId722" Type="http://schemas.openxmlformats.org/officeDocument/2006/relationships/hyperlink" Target="https://www.nhc.noaa.gov/data/mwreview/1995.pdf" TargetMode="External"/><Relationship Id="rId89" Type="http://schemas.openxmlformats.org/officeDocument/2006/relationships/hyperlink" Target="https://www.nhc.noaa.gov/data/mwreview/1991.pdf" TargetMode="External"/><Relationship Id="rId154" Type="http://schemas.openxmlformats.org/officeDocument/2006/relationships/hyperlink" Target="https://www.nhc.noaa.gov/data/tcr/AL172001_Olga.pdf" TargetMode="External"/><Relationship Id="rId361" Type="http://schemas.openxmlformats.org/officeDocument/2006/relationships/hyperlink" Target="https://www.nhc.noaa.gov/data/tcr/AL012017_Arlene.pdf" TargetMode="External"/><Relationship Id="rId599" Type="http://schemas.openxmlformats.org/officeDocument/2006/relationships/hyperlink" Target="https://www.nhc.noaa.gov/data/mwreview/1969.pdf" TargetMode="External"/><Relationship Id="rId459" Type="http://schemas.openxmlformats.org/officeDocument/2006/relationships/hyperlink" Target="https://www.nhc.noaa.gov/data/tcr/AL132022_EP182022_Julia.pdf" TargetMode="External"/><Relationship Id="rId666" Type="http://schemas.openxmlformats.org/officeDocument/2006/relationships/hyperlink" Target="https://www.nhc.noaa.gov/data/mwreview/1981.pdf" TargetMode="External"/><Relationship Id="rId16" Type="http://schemas.openxmlformats.org/officeDocument/2006/relationships/hyperlink" Target="https://www.nhc.noaa.gov/data/mwreview/1966.pdf" TargetMode="External"/><Relationship Id="rId221" Type="http://schemas.openxmlformats.org/officeDocument/2006/relationships/hyperlink" Target="https://www.nhc.noaa.gov/data/tcr/AL032007_Chantal.pdf" TargetMode="External"/><Relationship Id="rId319" Type="http://schemas.openxmlformats.org/officeDocument/2006/relationships/hyperlink" Target="https://www.nhc.noaa.gov/data/tcr/AL082013_Eight.pdf" TargetMode="External"/><Relationship Id="rId526" Type="http://schemas.openxmlformats.org/officeDocument/2006/relationships/hyperlink" Target="https://www.nhc.noaa.gov/data/tcr/AL132020_Laura.pdf" TargetMode="External"/><Relationship Id="rId733" Type="http://schemas.openxmlformats.org/officeDocument/2006/relationships/hyperlink" Target="https://www.nhc.noaa.gov/data/tcr/AL031999_Bret.pdf" TargetMode="External"/><Relationship Id="rId165" Type="http://schemas.openxmlformats.org/officeDocument/2006/relationships/hyperlink" Target="https://www.nhc.noaa.gov/data/tcr/AL052003_Danny.pdf" TargetMode="External"/><Relationship Id="rId372" Type="http://schemas.openxmlformats.org/officeDocument/2006/relationships/hyperlink" Target="https://www.nhc.noaa.gov/data/tcr/AL152017_Maria.pdf" TargetMode="External"/><Relationship Id="rId677" Type="http://schemas.openxmlformats.org/officeDocument/2006/relationships/hyperlink" Target="https://www.nhc.noaa.gov/data/mwreview/1984.pdf" TargetMode="External"/><Relationship Id="rId232" Type="http://schemas.openxmlformats.org/officeDocument/2006/relationships/hyperlink" Target="https://www.nhc.noaa.gov/data/tcr/AL152007_Fifteen.pdf" TargetMode="External"/><Relationship Id="rId27" Type="http://schemas.openxmlformats.org/officeDocument/2006/relationships/hyperlink" Target="https://www.nhc.noaa.gov/data/mwreview/1967.pdf" TargetMode="External"/><Relationship Id="rId537" Type="http://schemas.openxmlformats.org/officeDocument/2006/relationships/hyperlink" Target="https://www.nhc.noaa.gov/data/mwreview/1978.pdf" TargetMode="External"/><Relationship Id="rId744" Type="http://schemas.openxmlformats.org/officeDocument/2006/relationships/hyperlink" Target="https://www.nhc.noaa.gov/data/tcr/AL042003_Claudette.pdf" TargetMode="External"/><Relationship Id="rId80" Type="http://schemas.openxmlformats.org/officeDocument/2006/relationships/hyperlink" Target="https://www.nhc.noaa.gov/data/mwreview/1990.pdf" TargetMode="External"/><Relationship Id="rId176" Type="http://schemas.openxmlformats.org/officeDocument/2006/relationships/hyperlink" Target="https://www.nhc.noaa.gov/data/tcr/AL212003_Peter.pdf" TargetMode="External"/><Relationship Id="rId383" Type="http://schemas.openxmlformats.org/officeDocument/2006/relationships/hyperlink" Target="https://www.nhc.noaa.gov/data/tcr/AL092018_Isaac.pdf" TargetMode="External"/><Relationship Id="rId590" Type="http://schemas.openxmlformats.org/officeDocument/2006/relationships/hyperlink" Target="https://www.nhc.noaa.gov/data/mwreview/1964.pdf" TargetMode="External"/><Relationship Id="rId604" Type="http://schemas.openxmlformats.org/officeDocument/2006/relationships/hyperlink" Target="https://www.nhc.noaa.gov/data/mwreview/1970.pdf" TargetMode="External"/><Relationship Id="rId243" Type="http://schemas.openxmlformats.org/officeDocument/2006/relationships/hyperlink" Target="https://www.nhc.noaa.gov/data/tcr/AL132008_Marco.pdf" TargetMode="External"/><Relationship Id="rId450" Type="http://schemas.openxmlformats.org/officeDocument/2006/relationships/hyperlink" Target="https://www.nhc.noaa.gov/data/tcr/AL022022_EP042022_Bonnie.pdf" TargetMode="External"/><Relationship Id="rId688" Type="http://schemas.openxmlformats.org/officeDocument/2006/relationships/hyperlink" Target="https://www.nhc.noaa.gov/data/mwreview/1985.pdf" TargetMode="External"/><Relationship Id="rId38" Type="http://schemas.openxmlformats.org/officeDocument/2006/relationships/hyperlink" Target="https://www.nhc.noaa.gov/data/mwreview/1971.pdf" TargetMode="External"/><Relationship Id="rId103" Type="http://schemas.openxmlformats.org/officeDocument/2006/relationships/hyperlink" Target="https://www.nhc.noaa.gov/data/tcr/AL051996_Edouard.pdf" TargetMode="External"/><Relationship Id="rId310" Type="http://schemas.openxmlformats.org/officeDocument/2006/relationships/hyperlink" Target="https://www.nhc.noaa.gov/data/tcr/AL172012_Rafael.pdf" TargetMode="External"/><Relationship Id="rId548" Type="http://schemas.openxmlformats.org/officeDocument/2006/relationships/hyperlink" Target="https://www.nhc.noaa.gov/data/mwreview/1993.pdf" TargetMode="External"/><Relationship Id="rId755" Type="http://schemas.openxmlformats.org/officeDocument/2006/relationships/hyperlink" Target="https://www.nhc.noaa.gov/data/tcr/AL062008_Fay.pdf" TargetMode="External"/><Relationship Id="rId91" Type="http://schemas.openxmlformats.org/officeDocument/2006/relationships/hyperlink" Target="https://www.nhc.noaa.gov/data/mwreview/1992.pdf" TargetMode="External"/><Relationship Id="rId187" Type="http://schemas.openxmlformats.org/officeDocument/2006/relationships/hyperlink" Target="https://www.nhc.noaa.gov/data/tcr/AL012005_Arlene.pdf" TargetMode="External"/><Relationship Id="rId394" Type="http://schemas.openxmlformats.org/officeDocument/2006/relationships/hyperlink" Target="https://www.nhc.noaa.gov/data/tcr/AL062019_Erin.pdf" TargetMode="External"/><Relationship Id="rId408" Type="http://schemas.openxmlformats.org/officeDocument/2006/relationships/hyperlink" Target="https://www.nhc.noaa.gov/data/tcr/AL012020_Arthur.pdf" TargetMode="External"/><Relationship Id="rId615" Type="http://schemas.openxmlformats.org/officeDocument/2006/relationships/hyperlink" Target="https://www.nhc.noaa.gov/data/mwreview/1974.pdf" TargetMode="External"/><Relationship Id="rId254" Type="http://schemas.openxmlformats.org/officeDocument/2006/relationships/hyperlink" Target="https://www.nhc.noaa.gov/data/tcr/AL072009_Fred.pdf" TargetMode="External"/><Relationship Id="rId699" Type="http://schemas.openxmlformats.org/officeDocument/2006/relationships/hyperlink" Target="https://www.nhc.noaa.gov/data/mwreview/1986.pdf" TargetMode="External"/><Relationship Id="rId49" Type="http://schemas.openxmlformats.org/officeDocument/2006/relationships/hyperlink" Target="https://www.nhc.noaa.gov/data/mwreview/1973.pdf" TargetMode="External"/><Relationship Id="rId114" Type="http://schemas.openxmlformats.org/officeDocument/2006/relationships/hyperlink" Target="https://www.nhc.noaa.gov/data/tcr/AL081997_Fabian.pdf" TargetMode="External"/><Relationship Id="rId461" Type="http://schemas.openxmlformats.org/officeDocument/2006/relationships/hyperlink" Target="https://www.nhc.noaa.gov/data/tcr/AL152022_Lisa.pdf" TargetMode="External"/><Relationship Id="rId559" Type="http://schemas.openxmlformats.org/officeDocument/2006/relationships/hyperlink" Target="https://www.wpc.ncep.noaa.gov/research/txhur.pdf" TargetMode="External"/><Relationship Id="rId198" Type="http://schemas.openxmlformats.org/officeDocument/2006/relationships/hyperlink" Target="https://www.nhc.noaa.gov/data/tcr/AL152005_Nate.pdf" TargetMode="External"/><Relationship Id="rId321" Type="http://schemas.openxmlformats.org/officeDocument/2006/relationships/hyperlink" Target="https://www.nhc.noaa.gov/data/tcr/AL102013_Ingrid.pdf" TargetMode="External"/><Relationship Id="rId419" Type="http://schemas.openxmlformats.org/officeDocument/2006/relationships/hyperlink" Target="https://www.nhc.noaa.gov/data/tcr/AL152020_Omar.pdf" TargetMode="External"/><Relationship Id="rId626" Type="http://schemas.openxmlformats.org/officeDocument/2006/relationships/hyperlink" Target="https://www.nhc.noaa.gov/data/mwreview/1976.pdf" TargetMode="External"/><Relationship Id="rId265" Type="http://schemas.openxmlformats.org/officeDocument/2006/relationships/hyperlink" Target="https://www.nhc.noaa.gov/data/tcr/AL082010_Fiona.pdf" TargetMode="External"/><Relationship Id="rId472" Type="http://schemas.openxmlformats.org/officeDocument/2006/relationships/hyperlink" Target="https://www.nhc.noaa.gov/data/tcr/AL112023_Jose.pdf" TargetMode="External"/><Relationship Id="rId125" Type="http://schemas.openxmlformats.org/officeDocument/2006/relationships/hyperlink" Target="https://www.nhc.noaa.gov/data/tcr/AL041999_Cindy.pdf" TargetMode="External"/><Relationship Id="rId332" Type="http://schemas.openxmlformats.org/officeDocument/2006/relationships/hyperlink" Target="https://www.nhc.noaa.gov/data/tcr/AL072014_Fay.pdf" TargetMode="External"/><Relationship Id="rId637" Type="http://schemas.openxmlformats.org/officeDocument/2006/relationships/hyperlink" Target="https://www.nhc.noaa.gov/data/mwreview/1978.pdf" TargetMode="External"/><Relationship Id="rId276" Type="http://schemas.openxmlformats.org/officeDocument/2006/relationships/hyperlink" Target="https://www.nhc.noaa.gov/data/tcr/AL202010_Shary.pdf" TargetMode="External"/><Relationship Id="rId483" Type="http://schemas.openxmlformats.org/officeDocument/2006/relationships/hyperlink" Target="https://www.nhc.noaa.gov/data/tcr/AL012024_Alberto.pdf" TargetMode="External"/><Relationship Id="rId690" Type="http://schemas.openxmlformats.org/officeDocument/2006/relationships/hyperlink" Target="https://www.nhc.noaa.gov/data/mwreview/1985.pdf" TargetMode="External"/><Relationship Id="rId704" Type="http://schemas.openxmlformats.org/officeDocument/2006/relationships/hyperlink" Target="https://www.nhc.noaa.gov/data/mwreview/1989.pdf" TargetMode="External"/><Relationship Id="rId40" Type="http://schemas.openxmlformats.org/officeDocument/2006/relationships/hyperlink" Target="https://www.nhc.noaa.gov/data/mwreview/1971.pdf" TargetMode="External"/><Relationship Id="rId136" Type="http://schemas.openxmlformats.org/officeDocument/2006/relationships/hyperlink" Target="https://www.nhc.noaa.gov/data/tcr/AL102000_Florence.pdf" TargetMode="External"/><Relationship Id="rId343" Type="http://schemas.openxmlformats.org/officeDocument/2006/relationships/hyperlink" Target="https://www.nhc.noaa.gov/data/tcr/AL092015_Nine.pdf" TargetMode="External"/><Relationship Id="rId550" Type="http://schemas.openxmlformats.org/officeDocument/2006/relationships/hyperlink" Target="https://www.nhc.noaa.gov/data/tcr/AL101996_Josephine.pdf" TargetMode="External"/><Relationship Id="rId203" Type="http://schemas.openxmlformats.org/officeDocument/2006/relationships/hyperlink" Target="https://www.nhc.noaa.gov/data/tcr/AL232005_Twenty-Two.pdf" TargetMode="External"/><Relationship Id="rId648" Type="http://schemas.openxmlformats.org/officeDocument/2006/relationships/hyperlink" Target="https://www.nhc.noaa.gov/data/mwreview/1979.pdf" TargetMode="External"/><Relationship Id="rId287" Type="http://schemas.openxmlformats.org/officeDocument/2006/relationships/hyperlink" Target="https://www.nhc.noaa.gov/data/tcr/AL112011_Jose.pdf" TargetMode="External"/><Relationship Id="rId410" Type="http://schemas.openxmlformats.org/officeDocument/2006/relationships/hyperlink" Target="https://www.nhc.noaa.gov/data/tcr/AL032020_Cristobal.pdf" TargetMode="External"/><Relationship Id="rId494" Type="http://schemas.openxmlformats.org/officeDocument/2006/relationships/hyperlink" Target="https://www.nhc.noaa.gov/data/tcr/AL152024_Nadine.pdf" TargetMode="External"/><Relationship Id="rId508" Type="http://schemas.openxmlformats.org/officeDocument/2006/relationships/hyperlink" Target="https://www.nhc.noaa.gov/data/tcr/AL022024_Beryl.pdf" TargetMode="External"/><Relationship Id="rId715" Type="http://schemas.openxmlformats.org/officeDocument/2006/relationships/hyperlink" Target="https://www.nhc.noaa.gov/data/mwreview/1993.pdf" TargetMode="External"/><Relationship Id="rId147" Type="http://schemas.openxmlformats.org/officeDocument/2006/relationships/hyperlink" Target="https://www.nhc.noaa.gov/data/tcr/AL102001_Humberto.pdf" TargetMode="External"/><Relationship Id="rId354" Type="http://schemas.openxmlformats.org/officeDocument/2006/relationships/hyperlink" Target="https://www.nhc.noaa.gov/data/tcr/AL082016_Eight.pdf" TargetMode="External"/><Relationship Id="rId51" Type="http://schemas.openxmlformats.org/officeDocument/2006/relationships/hyperlink" Target="https://www.nhc.noaa.gov/data/mwreview/1973.pdf" TargetMode="External"/><Relationship Id="rId561" Type="http://schemas.openxmlformats.org/officeDocument/2006/relationships/hyperlink" Target="https://www.nhc.noaa.gov/data/tcr/AL032004_Charley.pdf" TargetMode="External"/><Relationship Id="rId659" Type="http://schemas.openxmlformats.org/officeDocument/2006/relationships/hyperlink" Target="https://www.nhc.noaa.gov/data/mwreview/1980.pdf" TargetMode="External"/><Relationship Id="rId214" Type="http://schemas.openxmlformats.org/officeDocument/2006/relationships/hyperlink" Target="https://www.nhc.noaa.gov/data/tcr/AL052006_Debby.pdf" TargetMode="External"/><Relationship Id="rId298" Type="http://schemas.openxmlformats.org/officeDocument/2006/relationships/hyperlink" Target="https://www.nhc.noaa.gov/data/tcr/AL042012_Debby.pdf" TargetMode="External"/><Relationship Id="rId421" Type="http://schemas.openxmlformats.org/officeDocument/2006/relationships/hyperlink" Target="https://www.nhc.noaa.gov/data/tcr/AL172020_Paulette.pdf" TargetMode="External"/><Relationship Id="rId519" Type="http://schemas.openxmlformats.org/officeDocument/2006/relationships/hyperlink" Target="https://www.nhc.noaa.gov/data/tcr/AL102010_Hermine.pdf" TargetMode="External"/><Relationship Id="rId158" Type="http://schemas.openxmlformats.org/officeDocument/2006/relationships/hyperlink" Target="https://www.nhc.noaa.gov/data/tcr/AL042002_Dolly.pdf" TargetMode="External"/><Relationship Id="rId726" Type="http://schemas.openxmlformats.org/officeDocument/2006/relationships/hyperlink" Target="https://www.nhc.noaa.gov/data/mwreview/1995.pdf" TargetMode="External"/><Relationship Id="rId62" Type="http://schemas.openxmlformats.org/officeDocument/2006/relationships/hyperlink" Target="https://www.nhc.noaa.gov/data/mwreview/1988.pdf" TargetMode="External"/><Relationship Id="rId365" Type="http://schemas.openxmlformats.org/officeDocument/2006/relationships/hyperlink" Target="https://www.nhc.noaa.gov/data/tcr/AL052017_Don.pdf" TargetMode="External"/><Relationship Id="rId572" Type="http://schemas.openxmlformats.org/officeDocument/2006/relationships/hyperlink" Target="https://www.nhc.noaa.gov/data/mwreview/1989.pdf" TargetMode="External"/><Relationship Id="rId225" Type="http://schemas.openxmlformats.org/officeDocument/2006/relationships/hyperlink" Target="https://www.nhc.noaa.gov/data/tcr/AL072007_Gabrielle.pdf" TargetMode="External"/><Relationship Id="rId432" Type="http://schemas.openxmlformats.org/officeDocument/2006/relationships/hyperlink" Target="https://www.nhc.noaa.gov/data/tcr/AL012021_Ana.pdf" TargetMode="External"/><Relationship Id="rId737" Type="http://schemas.openxmlformats.org/officeDocument/2006/relationships/hyperlink" Target="https://www.nhc.noaa.gov/data/tcr/AL012001_Allison.pdf" TargetMode="External"/><Relationship Id="rId73" Type="http://schemas.openxmlformats.org/officeDocument/2006/relationships/hyperlink" Target="https://www.nhc.noaa.gov/data/mwreview/1990.pdf" TargetMode="External"/><Relationship Id="rId169" Type="http://schemas.openxmlformats.org/officeDocument/2006/relationships/hyperlink" Target="https://www.nhc.noaa.gov/data/tcr/AL122003_Henri.pdf" TargetMode="External"/><Relationship Id="rId376" Type="http://schemas.openxmlformats.org/officeDocument/2006/relationships/hyperlink" Target="https://www.nhc.noaa.gov/data/tcr/AL012018_Alberto.pdf" TargetMode="External"/><Relationship Id="rId583" Type="http://schemas.openxmlformats.org/officeDocument/2006/relationships/hyperlink" Target="https://journals.ametsoc.org/view/journals/bams/81/9/1520-0477_2000_081_2065_lolitu_2_3_co_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35D4-01B7-4E62-8401-6F97CB8C54BF}">
  <dimension ref="A1:AE792"/>
  <sheetViews>
    <sheetView tabSelected="1" workbookViewId="0">
      <pane xSplit="2" ySplit="1" topLeftCell="C738" activePane="bottomRight" state="frozen"/>
      <selection pane="topRight"/>
      <selection pane="bottomLeft" activeCell="B1" sqref="B1"/>
      <selection pane="bottomRight" activeCell="J771" sqref="J771"/>
    </sheetView>
  </sheetViews>
  <sheetFormatPr defaultColWidth="12.5703125" defaultRowHeight="15" customHeight="1" x14ac:dyDescent="0.2"/>
  <cols>
    <col min="1" max="2" width="12.5703125" style="6" customWidth="1"/>
    <col min="3" max="9" width="16.5703125" style="6" customWidth="1"/>
    <col min="10" max="10" width="54" style="10" customWidth="1"/>
    <col min="11" max="11" width="21.28515625" style="6" customWidth="1"/>
    <col min="12" max="31" width="10.5703125" style="6" customWidth="1"/>
  </cols>
  <sheetData>
    <row r="1" spans="1:31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2.75" customHeight="1" x14ac:dyDescent="0.2">
      <c r="A2" s="3">
        <v>1963</v>
      </c>
      <c r="B2" s="3" t="s">
        <v>31</v>
      </c>
      <c r="C2" s="3" t="s">
        <v>32</v>
      </c>
      <c r="D2" s="3">
        <f>VLOOKUP($B2, '[1]HURDAT Query'!$A$1:$F$1030, 4, 0)</f>
        <v>3</v>
      </c>
      <c r="E2" s="3">
        <f>VLOOKUP($B2, '[1]HURDAT Query'!$A$1:$F$1030, 5, 0)</f>
        <v>100</v>
      </c>
      <c r="F2" s="3">
        <f>VLOOKUP($B2, '[1]HURDAT Query'!$A$1:$F$1030, 6, 0)</f>
        <v>969</v>
      </c>
      <c r="G2" s="3" t="str">
        <f>_xlfn.IFNA(VLOOKUP(B2, '[1]Landfall Stats'!A:G, 7, 0), "No LF")</f>
        <v>No LF</v>
      </c>
      <c r="H2" s="3" t="str">
        <f>_xlfn.IFNA(VLOOKUP(B2, '[1]Landfall Stats'!A:G, 5, 0), "No LF")</f>
        <v>No LF</v>
      </c>
      <c r="I2" s="3" t="str">
        <f>_xlfn.IFNA(VLOOKUP(B2, '[1]Landfall Stats'!A:G, 6, 0), "No LF")</f>
        <v>No LF</v>
      </c>
      <c r="J2" s="4" t="s">
        <v>33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12.75" customHeight="1" x14ac:dyDescent="0.2">
      <c r="A3" s="3">
        <v>1963</v>
      </c>
      <c r="B3" s="3" t="s">
        <v>34</v>
      </c>
      <c r="C3" s="3" t="str">
        <f>VLOOKUP($B3, '[1]HURDAT Query'!$A$1:$F$1030, 3, 0)</f>
        <v>BEULAH</v>
      </c>
      <c r="D3" s="3">
        <f>VLOOKUP($B3, '[1]HURDAT Query'!$A$1:$F$1030, 4, 0)</f>
        <v>3</v>
      </c>
      <c r="E3" s="3">
        <f>VLOOKUP($B3, '[1]HURDAT Query'!$A$1:$F$1030, 5, 0)</f>
        <v>105</v>
      </c>
      <c r="F3" s="3">
        <f>VLOOKUP($B3, '[1]HURDAT Query'!$A$1:$F$1030, 6, 0)</f>
        <v>958</v>
      </c>
      <c r="G3" s="3" t="str">
        <f>_xlfn.IFNA(VLOOKUP(B3, '[1]Landfall Stats'!A:G, 7, 0), "No LF")</f>
        <v>No LF</v>
      </c>
      <c r="H3" s="3" t="str">
        <f>_xlfn.IFNA(VLOOKUP(B3, '[1]Landfall Stats'!A:G, 5, 0), "No LF")</f>
        <v>No LF</v>
      </c>
      <c r="I3" s="3" t="str">
        <f>_xlfn.IFNA(VLOOKUP(B3, '[1]Landfall Stats'!A:G, 6, 0), "No LF")</f>
        <v>No LF</v>
      </c>
      <c r="J3" s="4" t="s">
        <v>33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12.75" customHeight="1" x14ac:dyDescent="0.2">
      <c r="A4" s="3">
        <v>1963</v>
      </c>
      <c r="B4" s="3" t="s">
        <v>35</v>
      </c>
      <c r="C4" s="3" t="str">
        <f>VLOOKUP($B4, '[1]HURDAT Query'!$A$1:$F$1030, 3, 0)</f>
        <v>CINDY</v>
      </c>
      <c r="D4" s="3" t="str">
        <f>VLOOKUP($B4, '[1]HURDAT Query'!$A$1:$F$1030, 4, 0)</f>
        <v>NA</v>
      </c>
      <c r="E4" s="3" t="str">
        <f>VLOOKUP($B4, '[1]HURDAT Query'!$A$1:$F$1030, 5, 0)</f>
        <v>NA</v>
      </c>
      <c r="F4" s="3" t="str">
        <f>VLOOKUP($B4, '[1]HURDAT Query'!$A$1:$F$1030, 6, 0)</f>
        <v>NA</v>
      </c>
      <c r="G4" s="3" t="str">
        <f>_xlfn.IFNA(VLOOKUP(B4, '[1]Landfall Stats'!A:G, 7, 0), "No LF")</f>
        <v>NA</v>
      </c>
      <c r="H4" s="3">
        <f>_xlfn.IFNA(VLOOKUP(B4, '[1]Landfall Stats'!A:G, 5, 0), "No LF")</f>
        <v>55</v>
      </c>
      <c r="I4" s="3">
        <f>_xlfn.IFNA(VLOOKUP(B4, '[1]Landfall Stats'!A:G, 6, 0), "No LF")</f>
        <v>997</v>
      </c>
      <c r="J4" s="5" t="s">
        <v>36</v>
      </c>
      <c r="K4" s="3">
        <v>3</v>
      </c>
      <c r="L4" s="3"/>
      <c r="M4" s="3"/>
      <c r="N4" s="3"/>
      <c r="O4" s="3"/>
      <c r="P4" s="3">
        <v>1</v>
      </c>
      <c r="Q4" s="6" t="s">
        <v>37</v>
      </c>
      <c r="R4" s="3"/>
      <c r="S4" s="3"/>
      <c r="T4" s="3">
        <v>2</v>
      </c>
      <c r="U4" s="3" t="s">
        <v>38</v>
      </c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12.75" customHeight="1" x14ac:dyDescent="0.2">
      <c r="A5" s="3">
        <v>1963</v>
      </c>
      <c r="B5" s="3" t="s">
        <v>39</v>
      </c>
      <c r="C5" s="3" t="str">
        <f>VLOOKUP($B5, '[1]HURDAT Query'!$A$1:$F$1030, 3, 0)</f>
        <v>DEBRA</v>
      </c>
      <c r="D5" s="3">
        <f>VLOOKUP($B5, '[1]HURDAT Query'!$A$1:$F$1030, 4, 0)</f>
        <v>1</v>
      </c>
      <c r="E5" s="3">
        <f>VLOOKUP($B5, '[1]HURDAT Query'!$A$1:$F$1030, 5, 0)</f>
        <v>65</v>
      </c>
      <c r="F5" s="3">
        <f>VLOOKUP($B5, '[1]HURDAT Query'!$A$1:$F$1030, 6, 0)</f>
        <v>1000</v>
      </c>
      <c r="G5" s="3" t="str">
        <f>_xlfn.IFNA(VLOOKUP(B5, '[1]Landfall Stats'!A:G, 7, 0), "No LF")</f>
        <v>No LF</v>
      </c>
      <c r="H5" s="3" t="str">
        <f>_xlfn.IFNA(VLOOKUP(B5, '[1]Landfall Stats'!A:G, 5, 0), "No LF")</f>
        <v>No LF</v>
      </c>
      <c r="I5" s="3" t="str">
        <f>_xlfn.IFNA(VLOOKUP(B5, '[1]Landfall Stats'!A:G, 6, 0), "No LF")</f>
        <v>No LF</v>
      </c>
      <c r="J5" s="5" t="s">
        <v>36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2.75" customHeight="1" x14ac:dyDescent="0.2">
      <c r="A6" s="3">
        <v>1963</v>
      </c>
      <c r="B6" s="3" t="s">
        <v>40</v>
      </c>
      <c r="C6" s="3" t="str">
        <f>VLOOKUP($B6, '[1]HURDAT Query'!$A$1:$F$1030, 3, 0)</f>
        <v>EDITH</v>
      </c>
      <c r="D6" s="3">
        <f>VLOOKUP($B6, '[1]HURDAT Query'!$A$1:$F$1030, 4, 0)</f>
        <v>2</v>
      </c>
      <c r="E6" s="3">
        <f>VLOOKUP($B6, '[1]HURDAT Query'!$A$1:$F$1030, 5, 0)</f>
        <v>85</v>
      </c>
      <c r="F6" s="3">
        <f>VLOOKUP($B6, '[1]HURDAT Query'!$A$1:$F$1030, 6, 0)</f>
        <v>990</v>
      </c>
      <c r="G6" s="3" t="str">
        <f>_xlfn.IFNA(VLOOKUP(B6, '[1]Landfall Stats'!A:G, 7, 0), "No LF")</f>
        <v>No LF</v>
      </c>
      <c r="H6" s="3" t="str">
        <f>_xlfn.IFNA(VLOOKUP(B6, '[1]Landfall Stats'!A:G, 5, 0), "No LF")</f>
        <v>No LF</v>
      </c>
      <c r="I6" s="3" t="str">
        <f>_xlfn.IFNA(VLOOKUP(B6, '[1]Landfall Stats'!A:G, 6, 0), "No LF")</f>
        <v>No LF</v>
      </c>
      <c r="J6" s="5" t="s">
        <v>36</v>
      </c>
      <c r="K6" s="3"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12" customHeight="1" x14ac:dyDescent="0.2">
      <c r="A7" s="3">
        <v>1963</v>
      </c>
      <c r="B7" s="3" t="s">
        <v>41</v>
      </c>
      <c r="C7" s="3" t="str">
        <f>VLOOKUP($B7, '[1]HURDAT Query'!$A$1:$F$1030, 3, 0)</f>
        <v>FLORA</v>
      </c>
      <c r="D7" s="3">
        <f>VLOOKUP($B7, '[1]HURDAT Query'!$A$1:$F$1030, 4, 0)</f>
        <v>4</v>
      </c>
      <c r="E7" s="3">
        <f>VLOOKUP($B7, '[1]HURDAT Query'!$A$1:$F$1030, 5, 0)</f>
        <v>130</v>
      </c>
      <c r="F7" s="3">
        <f>VLOOKUP($B7, '[1]HURDAT Query'!$A$1:$F$1030, 6, 0)</f>
        <v>933</v>
      </c>
      <c r="G7" s="3" t="str">
        <f>_xlfn.IFNA(VLOOKUP(B7, '[1]Landfall Stats'!A:G, 7, 0), "No LF")</f>
        <v>No LF</v>
      </c>
      <c r="H7" s="3" t="str">
        <f>_xlfn.IFNA(VLOOKUP(B7, '[1]Landfall Stats'!A:G, 5, 0), "No LF")</f>
        <v>No LF</v>
      </c>
      <c r="I7" s="3" t="str">
        <f>_xlfn.IFNA(VLOOKUP(B7, '[1]Landfall Stats'!A:G, 6, 0), "No LF")</f>
        <v>No LF</v>
      </c>
      <c r="J7" s="5" t="s">
        <v>36</v>
      </c>
      <c r="K7" s="3">
        <v>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1</v>
      </c>
      <c r="AE7" s="3" t="s">
        <v>42</v>
      </c>
    </row>
    <row r="8" spans="1:31" ht="14.25" customHeight="1" x14ac:dyDescent="0.2">
      <c r="A8" s="3">
        <v>1963</v>
      </c>
      <c r="B8" s="3" t="s">
        <v>43</v>
      </c>
      <c r="C8" s="3" t="str">
        <f>VLOOKUP($B8, '[1]HURDAT Query'!$A$1:$F$1030, 3, 0)</f>
        <v>GINNY</v>
      </c>
      <c r="D8" s="3">
        <f>VLOOKUP($B8, '[1]HURDAT Query'!$A$1:$F$1030, 4, 0)</f>
        <v>2</v>
      </c>
      <c r="E8" s="3">
        <f>VLOOKUP($B8, '[1]HURDAT Query'!$A$1:$F$1030, 5, 0)</f>
        <v>95</v>
      </c>
      <c r="F8" s="3">
        <f>VLOOKUP($B8, '[1]HURDAT Query'!$A$1:$F$1030, 6, 0)</f>
        <v>948</v>
      </c>
      <c r="G8" s="3" t="str">
        <f>_xlfn.IFNA(VLOOKUP(B8, '[1]Landfall Stats'!A:G, 7, 0), "No LF")</f>
        <v>No LF</v>
      </c>
      <c r="H8" s="3" t="str">
        <f>_xlfn.IFNA(VLOOKUP(B8, '[1]Landfall Stats'!A:G, 5, 0), "No LF")</f>
        <v>No LF</v>
      </c>
      <c r="I8" s="3" t="str">
        <f>_xlfn.IFNA(VLOOKUP(B8, '[1]Landfall Stats'!A:G, 6, 0), "No LF")</f>
        <v>No LF</v>
      </c>
      <c r="J8" s="5" t="s">
        <v>36</v>
      </c>
      <c r="K8" s="3">
        <v>7</v>
      </c>
      <c r="L8" s="3"/>
      <c r="M8" s="3"/>
      <c r="N8" s="3"/>
      <c r="O8" s="3"/>
      <c r="P8" s="3">
        <v>4</v>
      </c>
      <c r="Q8" s="3" t="s">
        <v>42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3</v>
      </c>
      <c r="AE8" s="3" t="s">
        <v>42</v>
      </c>
    </row>
    <row r="9" spans="1:31" ht="12.75" customHeight="1" x14ac:dyDescent="0.2">
      <c r="A9" s="3">
        <v>1963</v>
      </c>
      <c r="B9" s="3" t="s">
        <v>44</v>
      </c>
      <c r="C9" s="3" t="str">
        <f>VLOOKUP($B9, '[1]HURDAT Query'!$A$1:$F$1030, 3, 0)</f>
        <v>HELENA</v>
      </c>
      <c r="D9" s="3" t="str">
        <f>VLOOKUP($B9, '[1]HURDAT Query'!$A$1:$F$1030, 4, 0)</f>
        <v>NA</v>
      </c>
      <c r="E9" s="3" t="str">
        <f>VLOOKUP($B9, '[1]HURDAT Query'!$A$1:$F$1030, 5, 0)</f>
        <v>NA</v>
      </c>
      <c r="F9" s="3" t="str">
        <f>VLOOKUP($B9, '[1]HURDAT Query'!$A$1:$F$1030, 6, 0)</f>
        <v>NA</v>
      </c>
      <c r="G9" s="3" t="str">
        <f>_xlfn.IFNA(VLOOKUP(B9, '[1]Landfall Stats'!A:G, 7, 0), "No LF")</f>
        <v>No LF</v>
      </c>
      <c r="H9" s="3" t="str">
        <f>_xlfn.IFNA(VLOOKUP(B9, '[1]Landfall Stats'!A:G, 5, 0), "No LF")</f>
        <v>No LF</v>
      </c>
      <c r="I9" s="3" t="str">
        <f>_xlfn.IFNA(VLOOKUP(B9, '[1]Landfall Stats'!A:G, 6, 0), "No LF")</f>
        <v>No LF</v>
      </c>
      <c r="J9" s="5" t="s">
        <v>36</v>
      </c>
      <c r="K9" s="3">
        <v>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2.75" customHeight="1" x14ac:dyDescent="0.2">
      <c r="A10" s="3">
        <v>1964</v>
      </c>
      <c r="B10" s="3" t="s">
        <v>45</v>
      </c>
      <c r="C10" s="3" t="str">
        <f>VLOOKUP($B10, '[1]HURDAT Query'!$A$1:$F$1030, 3, 0)</f>
        <v>ABBY</v>
      </c>
      <c r="D10" s="3" t="str">
        <f>VLOOKUP($B10, '[1]HURDAT Query'!$A$1:$F$1030, 4, 0)</f>
        <v>NA</v>
      </c>
      <c r="E10" s="3" t="str">
        <f>VLOOKUP($B10, '[1]HURDAT Query'!$A$1:$F$1030, 5, 0)</f>
        <v>NA</v>
      </c>
      <c r="F10" s="3" t="str">
        <f>VLOOKUP($B10, '[1]HURDAT Query'!$A$1:$F$1030, 6, 0)</f>
        <v>NA</v>
      </c>
      <c r="G10" s="3" t="str">
        <f>_xlfn.IFNA(VLOOKUP(B10, '[1]Landfall Stats'!A:G, 7, 0), "No LF")</f>
        <v>No LF</v>
      </c>
      <c r="H10" s="3" t="str">
        <f>_xlfn.IFNA(VLOOKUP(B10, '[1]Landfall Stats'!A:G, 5, 0), "No LF")</f>
        <v>No LF</v>
      </c>
      <c r="I10" s="3" t="str">
        <f>_xlfn.IFNA(VLOOKUP(B10, '[1]Landfall Stats'!A:G, 6, 0), "No LF")</f>
        <v>No LF</v>
      </c>
      <c r="J10" s="5" t="s">
        <v>36</v>
      </c>
      <c r="K10" s="3">
        <v>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2.75" customHeight="1" x14ac:dyDescent="0.2">
      <c r="A11" s="3">
        <v>1964</v>
      </c>
      <c r="B11" s="3" t="s">
        <v>46</v>
      </c>
      <c r="C11" s="3" t="str">
        <f>VLOOKUP($B11, '[1]HURDAT Query'!$A$1:$F$1030, 3, 0)</f>
        <v>BRENDA</v>
      </c>
      <c r="D11" s="3" t="str">
        <f>VLOOKUP($B11, '[1]HURDAT Query'!$A$1:$F$1030, 4, 0)</f>
        <v>NA</v>
      </c>
      <c r="E11" s="3" t="str">
        <f>VLOOKUP($B11, '[1]HURDAT Query'!$A$1:$F$1030, 5, 0)</f>
        <v>NA</v>
      </c>
      <c r="F11" s="3" t="str">
        <f>VLOOKUP($B11, '[1]HURDAT Query'!$A$1:$F$1030, 6, 0)</f>
        <v>NA</v>
      </c>
      <c r="G11" s="3" t="str">
        <f>_xlfn.IFNA(VLOOKUP(B11, '[1]Landfall Stats'!A:G, 7, 0), "No LF")</f>
        <v>No LF</v>
      </c>
      <c r="H11" s="3" t="str">
        <f>_xlfn.IFNA(VLOOKUP(B11, '[1]Landfall Stats'!A:G, 5, 0), "No LF")</f>
        <v>No LF</v>
      </c>
      <c r="I11" s="3" t="str">
        <f>_xlfn.IFNA(VLOOKUP(B11, '[1]Landfall Stats'!A:G, 6, 0), "No LF")</f>
        <v>No LF</v>
      </c>
      <c r="J11" s="5" t="s">
        <v>36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2.75" customHeight="1" x14ac:dyDescent="0.2">
      <c r="A12" s="3">
        <v>1964</v>
      </c>
      <c r="B12" s="3" t="s">
        <v>47</v>
      </c>
      <c r="C12" s="3" t="str">
        <f>VLOOKUP($B12, '[1]HURDAT Query'!$A$1:$F$1030, 3, 0)</f>
        <v>CLEO</v>
      </c>
      <c r="D12" s="3">
        <f>VLOOKUP($B12, '[1]HURDAT Query'!$A$1:$F$1030, 4, 0)</f>
        <v>4</v>
      </c>
      <c r="E12" s="3">
        <f>VLOOKUP($B12, '[1]HURDAT Query'!$A$1:$F$1030, 5, 0)</f>
        <v>130</v>
      </c>
      <c r="F12" s="3">
        <f>VLOOKUP($B12, '[1]HURDAT Query'!$A$1:$F$1030, 6, 0)</f>
        <v>938</v>
      </c>
      <c r="G12" s="3">
        <f>_xlfn.IFNA(VLOOKUP(B12, '[1]Landfall Stats'!A:G, 7, 0), "No LF")</f>
        <v>2</v>
      </c>
      <c r="H12" s="3">
        <f>_xlfn.IFNA(VLOOKUP(B12, '[1]Landfall Stats'!A:G, 5, 0), "No LF")</f>
        <v>95</v>
      </c>
      <c r="I12" s="3">
        <f>_xlfn.IFNA(VLOOKUP(B12, '[1]Landfall Stats'!A:G, 6, 0), "No LF")</f>
        <v>968</v>
      </c>
      <c r="J12" s="5" t="s">
        <v>48</v>
      </c>
      <c r="K12" s="3">
        <v>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3</v>
      </c>
      <c r="AE12" s="3" t="s">
        <v>42</v>
      </c>
    </row>
    <row r="13" spans="1:31" ht="12.75" customHeight="1" x14ac:dyDescent="0.2">
      <c r="A13" s="3">
        <v>1964</v>
      </c>
      <c r="B13" s="3" t="s">
        <v>49</v>
      </c>
      <c r="C13" s="3" t="str">
        <f>VLOOKUP($B13, '[1]HURDAT Query'!$A$1:$F$1030, 3, 0)</f>
        <v>DORA</v>
      </c>
      <c r="D13" s="3">
        <f>VLOOKUP($B13, '[1]HURDAT Query'!$A$1:$F$1030, 4, 0)</f>
        <v>4</v>
      </c>
      <c r="E13" s="3">
        <f>VLOOKUP($B13, '[1]HURDAT Query'!$A$1:$F$1030, 5, 0)</f>
        <v>115</v>
      </c>
      <c r="F13" s="3">
        <f>VLOOKUP($B13, '[1]HURDAT Query'!$A$1:$F$1030, 6, 0)</f>
        <v>942</v>
      </c>
      <c r="G13" s="3">
        <f>_xlfn.IFNA(VLOOKUP(B13, '[1]Landfall Stats'!A:G, 7, 0), "No LF")</f>
        <v>2</v>
      </c>
      <c r="H13" s="3">
        <f>_xlfn.IFNA(VLOOKUP(B13, '[1]Landfall Stats'!A:G, 5, 0), "No LF")</f>
        <v>95</v>
      </c>
      <c r="I13" s="3">
        <f>_xlfn.IFNA(VLOOKUP(B13, '[1]Landfall Stats'!A:G, 6, 0), "No LF")</f>
        <v>966</v>
      </c>
      <c r="J13" s="4" t="s">
        <v>50</v>
      </c>
      <c r="K13" s="3">
        <v>5</v>
      </c>
      <c r="L13" s="3"/>
      <c r="M13" s="3"/>
      <c r="N13" s="3">
        <v>1</v>
      </c>
      <c r="O13" s="3" t="s">
        <v>51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4</v>
      </c>
      <c r="AE13" s="3" t="s">
        <v>42</v>
      </c>
    </row>
    <row r="14" spans="1:31" ht="12.75" customHeight="1" x14ac:dyDescent="0.2">
      <c r="A14" s="3">
        <v>1964</v>
      </c>
      <c r="B14" s="3" t="s">
        <v>52</v>
      </c>
      <c r="C14" s="3" t="str">
        <f>VLOOKUP($B14, '[1]HURDAT Query'!$A$1:$F$1030, 3, 0)</f>
        <v>ETHEL</v>
      </c>
      <c r="D14" s="3">
        <f>VLOOKUP($B14, '[1]HURDAT Query'!$A$1:$F$1030, 4, 0)</f>
        <v>2</v>
      </c>
      <c r="E14" s="3">
        <f>VLOOKUP($B14, '[1]HURDAT Query'!$A$1:$F$1030, 5, 0)</f>
        <v>90</v>
      </c>
      <c r="F14" s="3">
        <f>VLOOKUP($B14, '[1]HURDAT Query'!$A$1:$F$1030, 6, 0)</f>
        <v>974</v>
      </c>
      <c r="G14" s="3" t="str">
        <f>_xlfn.IFNA(VLOOKUP(B14, '[1]Landfall Stats'!A:G, 7, 0), "No LF")</f>
        <v>No LF</v>
      </c>
      <c r="H14" s="3" t="str">
        <f>_xlfn.IFNA(VLOOKUP(B14, '[1]Landfall Stats'!A:G, 5, 0), "No LF")</f>
        <v>No LF</v>
      </c>
      <c r="I14" s="3" t="str">
        <f>_xlfn.IFNA(VLOOKUP(B14, '[1]Landfall Stats'!A:G, 6, 0), "No LF")</f>
        <v>No LF</v>
      </c>
      <c r="J14" s="4" t="s">
        <v>50</v>
      </c>
      <c r="K14" s="3">
        <v>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12.75" customHeight="1" x14ac:dyDescent="0.2">
      <c r="A15" s="3">
        <v>1964</v>
      </c>
      <c r="B15" s="3" t="s">
        <v>53</v>
      </c>
      <c r="C15" s="3" t="str">
        <f>VLOOKUP($B15, '[1]HURDAT Query'!$A$1:$F$1030, 3, 0)</f>
        <v>FLORENCE</v>
      </c>
      <c r="D15" s="3" t="str">
        <f>VLOOKUP($B15, '[1]HURDAT Query'!$A$1:$F$1030, 4, 0)</f>
        <v>NA</v>
      </c>
      <c r="E15" s="3" t="str">
        <f>VLOOKUP($B15, '[1]HURDAT Query'!$A$1:$F$1030, 5, 0)</f>
        <v>NA</v>
      </c>
      <c r="F15" s="3" t="str">
        <f>VLOOKUP($B15, '[1]HURDAT Query'!$A$1:$F$1030, 6, 0)</f>
        <v>NA</v>
      </c>
      <c r="G15" s="3" t="str">
        <f>_xlfn.IFNA(VLOOKUP(B15, '[1]Landfall Stats'!A:G, 7, 0), "No LF")</f>
        <v>No LF</v>
      </c>
      <c r="H15" s="3" t="str">
        <f>_xlfn.IFNA(VLOOKUP(B15, '[1]Landfall Stats'!A:G, 5, 0), "No LF")</f>
        <v>No LF</v>
      </c>
      <c r="I15" s="3" t="str">
        <f>_xlfn.IFNA(VLOOKUP(B15, '[1]Landfall Stats'!A:G, 6, 0), "No LF")</f>
        <v>No LF</v>
      </c>
      <c r="J15" s="4" t="s">
        <v>50</v>
      </c>
      <c r="K15" s="3">
        <v>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2.75" customHeight="1" x14ac:dyDescent="0.2">
      <c r="A16" s="3">
        <v>1964</v>
      </c>
      <c r="B16" s="3" t="s">
        <v>54</v>
      </c>
      <c r="C16" s="3" t="str">
        <f>VLOOKUP($B16, '[1]HURDAT Query'!$A$1:$F$1030, 3, 0)</f>
        <v>GLADYS</v>
      </c>
      <c r="D16" s="3">
        <f>VLOOKUP($B16, '[1]HURDAT Query'!$A$1:$F$1030, 4, 0)</f>
        <v>4</v>
      </c>
      <c r="E16" s="3">
        <f>VLOOKUP($B16, '[1]HURDAT Query'!$A$1:$F$1030, 5, 0)</f>
        <v>115</v>
      </c>
      <c r="F16" s="3">
        <f>VLOOKUP($B16, '[1]HURDAT Query'!$A$1:$F$1030, 6, 0)</f>
        <v>945</v>
      </c>
      <c r="G16" s="3" t="str">
        <f>_xlfn.IFNA(VLOOKUP(B16, '[1]Landfall Stats'!A:G, 7, 0), "No LF")</f>
        <v>No LF</v>
      </c>
      <c r="H16" s="3" t="str">
        <f>_xlfn.IFNA(VLOOKUP(B16, '[1]Landfall Stats'!A:G, 5, 0), "No LF")</f>
        <v>No LF</v>
      </c>
      <c r="I16" s="3" t="str">
        <f>_xlfn.IFNA(VLOOKUP(B16, '[1]Landfall Stats'!A:G, 6, 0), "No LF")</f>
        <v>No LF</v>
      </c>
      <c r="J16" s="4" t="s">
        <v>50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12.75" customHeight="1" x14ac:dyDescent="0.2">
      <c r="A17" s="3">
        <v>1964</v>
      </c>
      <c r="B17" s="3" t="s">
        <v>55</v>
      </c>
      <c r="C17" s="3" t="str">
        <f>VLOOKUP($B17, '[1]HURDAT Query'!$A$1:$F$1030, 3, 0)</f>
        <v>HILDA</v>
      </c>
      <c r="D17" s="3">
        <f>VLOOKUP($B17, '[1]HURDAT Query'!$A$1:$F$1030, 4, 0)</f>
        <v>4</v>
      </c>
      <c r="E17" s="3">
        <f>VLOOKUP($B17, '[1]HURDAT Query'!$A$1:$F$1030, 5, 0)</f>
        <v>120</v>
      </c>
      <c r="F17" s="3">
        <f>VLOOKUP($B17, '[1]HURDAT Query'!$A$1:$F$1030, 6, 0)</f>
        <v>941</v>
      </c>
      <c r="G17" s="3">
        <f>_xlfn.IFNA(VLOOKUP(B17, '[1]Landfall Stats'!A:G, 7, 0), "No LF")</f>
        <v>2</v>
      </c>
      <c r="H17" s="3">
        <f>_xlfn.IFNA(VLOOKUP(B17, '[1]Landfall Stats'!A:G, 5, 0), "No LF")</f>
        <v>90</v>
      </c>
      <c r="I17" s="3">
        <f>_xlfn.IFNA(VLOOKUP(B17, '[1]Landfall Stats'!A:G, 6, 0), "No LF")</f>
        <v>959</v>
      </c>
      <c r="J17" s="4" t="s">
        <v>48</v>
      </c>
      <c r="K17" s="3">
        <v>38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v>27</v>
      </c>
      <c r="AA17" s="3" t="s">
        <v>37</v>
      </c>
      <c r="AB17" s="3"/>
      <c r="AC17" s="3"/>
      <c r="AD17" s="3">
        <v>11</v>
      </c>
      <c r="AE17" s="3" t="s">
        <v>42</v>
      </c>
    </row>
    <row r="18" spans="1:31" ht="12.75" customHeight="1" x14ac:dyDescent="0.2">
      <c r="A18" s="3">
        <v>1964</v>
      </c>
      <c r="B18" s="3" t="s">
        <v>56</v>
      </c>
      <c r="C18" s="3" t="str">
        <f>VLOOKUP($B18, '[1]HURDAT Query'!$A$1:$F$1030, 3, 0)</f>
        <v>ISBELL</v>
      </c>
      <c r="D18" s="3">
        <f>VLOOKUP($B18, '[1]HURDAT Query'!$A$1:$F$1030, 4, 0)</f>
        <v>3</v>
      </c>
      <c r="E18" s="3">
        <f>VLOOKUP($B18, '[1]HURDAT Query'!$A$1:$F$1030, 5, 0)</f>
        <v>100</v>
      </c>
      <c r="F18" s="3">
        <f>VLOOKUP($B18, '[1]HURDAT Query'!$A$1:$F$1030, 6, 0)</f>
        <v>964</v>
      </c>
      <c r="G18" s="3">
        <f>_xlfn.IFNA(VLOOKUP(B18, '[1]Landfall Stats'!A:G, 7, 0), "No LF")</f>
        <v>2</v>
      </c>
      <c r="H18" s="3">
        <f>_xlfn.IFNA(VLOOKUP(B18, '[1]Landfall Stats'!A:G, 5, 0), "No LF")</f>
        <v>90</v>
      </c>
      <c r="I18" s="3">
        <f>_xlfn.IFNA(VLOOKUP(B18, '[1]Landfall Stats'!A:G, 6, 0), "No LF")</f>
        <v>970</v>
      </c>
      <c r="J18" s="4" t="s">
        <v>50</v>
      </c>
      <c r="K18" s="3">
        <v>2</v>
      </c>
      <c r="L18" s="3"/>
      <c r="M18" s="3"/>
      <c r="N18" s="3"/>
      <c r="O18" s="3"/>
      <c r="P18" s="3">
        <v>2</v>
      </c>
      <c r="Q18" s="3" t="s">
        <v>51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12.75" customHeight="1" x14ac:dyDescent="0.2">
      <c r="A19" s="3">
        <v>1965</v>
      </c>
      <c r="B19" s="3" t="s">
        <v>57</v>
      </c>
      <c r="C19" s="3" t="str">
        <f>VLOOKUP($B19, '[1]HURDAT Query'!$A$1:$F$1030, 3, 0)</f>
        <v>ANNA</v>
      </c>
      <c r="D19" s="3">
        <f>VLOOKUP($B19, '[1]HURDAT Query'!$A$1:$F$1030, 4, 0)</f>
        <v>2</v>
      </c>
      <c r="E19" s="3">
        <f>VLOOKUP($B19, '[1]HURDAT Query'!$A$1:$F$1030, 5, 0)</f>
        <v>90</v>
      </c>
      <c r="F19" s="3" t="str">
        <f>VLOOKUP($B19, '[1]HURDAT Query'!$A$1:$F$1030, 6, 0)</f>
        <v>NA</v>
      </c>
      <c r="G19" s="3" t="str">
        <f>_xlfn.IFNA(VLOOKUP(B19, '[1]Landfall Stats'!A:G, 7, 0), "No LF")</f>
        <v>No LF</v>
      </c>
      <c r="H19" s="3" t="str">
        <f>_xlfn.IFNA(VLOOKUP(B19, '[1]Landfall Stats'!A:G, 5, 0), "No LF")</f>
        <v>No LF</v>
      </c>
      <c r="I19" s="3" t="str">
        <f>_xlfn.IFNA(VLOOKUP(B19, '[1]Landfall Stats'!A:G, 6, 0), "No LF")</f>
        <v>No LF</v>
      </c>
      <c r="J19" s="4" t="s">
        <v>58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12.75" customHeight="1" x14ac:dyDescent="0.2">
      <c r="A20" s="3">
        <v>1965</v>
      </c>
      <c r="B20" s="3" t="s">
        <v>59</v>
      </c>
      <c r="C20" s="3" t="str">
        <f>VLOOKUP($B20, '[1]HURDAT Query'!$A$1:$F$1030, 3, 0)</f>
        <v>BETSY</v>
      </c>
      <c r="D20" s="3">
        <f>VLOOKUP($B20, '[1]HURDAT Query'!$A$1:$F$1030, 4, 0)</f>
        <v>4</v>
      </c>
      <c r="E20" s="3">
        <f>VLOOKUP($B20, '[1]HURDAT Query'!$A$1:$F$1030, 5, 0)</f>
        <v>120</v>
      </c>
      <c r="F20" s="3">
        <f>VLOOKUP($B20, '[1]HURDAT Query'!$A$1:$F$1030, 6, 0)</f>
        <v>942</v>
      </c>
      <c r="G20" s="3">
        <f>_xlfn.IFNA(VLOOKUP(B20, '[1]Landfall Stats'!A:G, 7, 0), "No LF")</f>
        <v>4</v>
      </c>
      <c r="H20" s="3">
        <f>_xlfn.IFNA(VLOOKUP(B20, '[1]Landfall Stats'!A:G, 5, 0), "No LF")</f>
        <v>115</v>
      </c>
      <c r="I20" s="3">
        <f>_xlfn.IFNA(VLOOKUP(B20, '[1]Landfall Stats'!A:G, 6, 0), "No LF")</f>
        <v>946</v>
      </c>
      <c r="J20" s="4" t="s">
        <v>60</v>
      </c>
      <c r="K20" s="3">
        <v>93</v>
      </c>
      <c r="L20" s="3">
        <v>81</v>
      </c>
      <c r="M20" s="3" t="s">
        <v>37</v>
      </c>
      <c r="N20" s="3"/>
      <c r="O20" s="3"/>
      <c r="P20" s="3">
        <v>9</v>
      </c>
      <c r="Q20" s="3" t="s">
        <v>51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3</v>
      </c>
      <c r="AE20" s="6" t="s">
        <v>42</v>
      </c>
    </row>
    <row r="21" spans="1:31" ht="12.75" customHeight="1" x14ac:dyDescent="0.2">
      <c r="A21" s="3">
        <v>1965</v>
      </c>
      <c r="B21" s="3" t="s">
        <v>61</v>
      </c>
      <c r="C21" s="3" t="str">
        <f>VLOOKUP($B21, '[1]HURDAT Query'!$A$1:$F$1030, 3, 0)</f>
        <v>CAROL</v>
      </c>
      <c r="D21" s="3">
        <f>VLOOKUP($B21, '[1]HURDAT Query'!$A$1:$F$1030, 4, 0)</f>
        <v>1</v>
      </c>
      <c r="E21" s="3">
        <f>VLOOKUP($B21, '[1]HURDAT Query'!$A$1:$F$1030, 5, 0)</f>
        <v>80</v>
      </c>
      <c r="F21" s="3">
        <f>VLOOKUP($B21, '[1]HURDAT Query'!$A$1:$F$1030, 6, 0)</f>
        <v>974</v>
      </c>
      <c r="G21" s="3" t="str">
        <f>_xlfn.IFNA(VLOOKUP(B21, '[1]Landfall Stats'!A:G, 7, 0), "No LF")</f>
        <v>No LF</v>
      </c>
      <c r="H21" s="3" t="str">
        <f>_xlfn.IFNA(VLOOKUP(B21, '[1]Landfall Stats'!A:G, 5, 0), "No LF")</f>
        <v>No LF</v>
      </c>
      <c r="I21" s="3" t="str">
        <f>_xlfn.IFNA(VLOOKUP(B21, '[1]Landfall Stats'!A:G, 6, 0), "No LF")</f>
        <v>No LF</v>
      </c>
      <c r="J21" s="4" t="s">
        <v>58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12.75" customHeight="1" x14ac:dyDescent="0.2">
      <c r="A22" s="3">
        <v>1965</v>
      </c>
      <c r="B22" s="3" t="s">
        <v>62</v>
      </c>
      <c r="C22" s="3" t="str">
        <f>VLOOKUP($B22, '[1]HURDAT Query'!$A$1:$F$1030, 3, 0)</f>
        <v>DEBBIE</v>
      </c>
      <c r="D22" s="3" t="str">
        <f>VLOOKUP($B22, '[1]HURDAT Query'!$A$1:$F$1030, 4, 0)</f>
        <v>NA</v>
      </c>
      <c r="E22" s="3" t="str">
        <f>VLOOKUP($B22, '[1]HURDAT Query'!$A$1:$F$1030, 5, 0)</f>
        <v>NA</v>
      </c>
      <c r="F22" s="3" t="str">
        <f>VLOOKUP($B22, '[1]HURDAT Query'!$A$1:$F$1030, 6, 0)</f>
        <v>NA</v>
      </c>
      <c r="G22" s="3" t="str">
        <f>_xlfn.IFNA(VLOOKUP(B22, '[1]Landfall Stats'!A:G, 7, 0), "No LF")</f>
        <v>NA</v>
      </c>
      <c r="H22" s="3">
        <f>_xlfn.IFNA(VLOOKUP(B22, '[1]Landfall Stats'!A:G, 5, 0), "No LF")</f>
        <v>35</v>
      </c>
      <c r="I22" s="3">
        <f>_xlfn.IFNA(VLOOKUP(B22, '[1]Landfall Stats'!A:G, 6, 0), "No LF")</f>
        <v>1002</v>
      </c>
      <c r="J22" s="4" t="s">
        <v>63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12.75" customHeight="1" x14ac:dyDescent="0.2">
      <c r="A23" s="3">
        <v>1965</v>
      </c>
      <c r="B23" s="3" t="s">
        <v>64</v>
      </c>
      <c r="C23" s="3" t="str">
        <f>VLOOKUP($B23, '[1]HURDAT Query'!$A$1:$F$1030, 3, 0)</f>
        <v>ELENA</v>
      </c>
      <c r="D23" s="3">
        <f>VLOOKUP($B23, '[1]HURDAT Query'!$A$1:$F$1030, 4, 0)</f>
        <v>2</v>
      </c>
      <c r="E23" s="3">
        <f>VLOOKUP($B23, '[1]HURDAT Query'!$A$1:$F$1030, 5, 0)</f>
        <v>95</v>
      </c>
      <c r="F23" s="3">
        <f>VLOOKUP($B23, '[1]HURDAT Query'!$A$1:$F$1030, 6, 0)</f>
        <v>977</v>
      </c>
      <c r="G23" s="3" t="str">
        <f>_xlfn.IFNA(VLOOKUP(B23, '[1]Landfall Stats'!A:G, 7, 0), "No LF")</f>
        <v>No LF</v>
      </c>
      <c r="H23" s="3" t="str">
        <f>_xlfn.IFNA(VLOOKUP(B23, '[1]Landfall Stats'!A:G, 5, 0), "No LF")</f>
        <v>No LF</v>
      </c>
      <c r="I23" s="3" t="str">
        <f>_xlfn.IFNA(VLOOKUP(B23, '[1]Landfall Stats'!A:G, 6, 0), "No LF")</f>
        <v>No LF</v>
      </c>
      <c r="J23" s="4" t="s">
        <v>63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12.75" customHeight="1" x14ac:dyDescent="0.2">
      <c r="A24" s="3">
        <v>1966</v>
      </c>
      <c r="B24" s="3" t="s">
        <v>65</v>
      </c>
      <c r="C24" s="3" t="str">
        <f>VLOOKUP($B24, '[1]HURDAT Query'!$A$1:$F$1030, 3, 0)</f>
        <v>ALMA</v>
      </c>
      <c r="D24" s="3">
        <f>VLOOKUP($B24, '[1]HURDAT Query'!$A$1:$F$1030, 4, 0)</f>
        <v>3</v>
      </c>
      <c r="E24" s="3">
        <f>VLOOKUP($B24, '[1]HURDAT Query'!$A$1:$F$1030, 5, 0)</f>
        <v>100</v>
      </c>
      <c r="F24" s="3">
        <f>VLOOKUP($B24, '[1]HURDAT Query'!$A$1:$F$1030, 6, 0)</f>
        <v>970</v>
      </c>
      <c r="G24" s="3">
        <f>_xlfn.IFNA(VLOOKUP(B24, '[1]Landfall Stats'!A:G, 7, 0), "No LF")</f>
        <v>1</v>
      </c>
      <c r="H24" s="3">
        <f>_xlfn.IFNA(VLOOKUP(B24, '[1]Landfall Stats'!A:G, 5, 0), "No LF")</f>
        <v>75</v>
      </c>
      <c r="I24" s="3">
        <f>_xlfn.IFNA(VLOOKUP(B24, '[1]Landfall Stats'!A:G, 6, 0), "No LF")</f>
        <v>977</v>
      </c>
      <c r="J24" s="4" t="s">
        <v>66</v>
      </c>
      <c r="K24" s="3">
        <v>2</v>
      </c>
      <c r="L24" s="3"/>
      <c r="M24" s="3"/>
      <c r="N24" s="3">
        <v>2</v>
      </c>
      <c r="O24" s="3" t="s">
        <v>51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2.75" customHeight="1" x14ac:dyDescent="0.2">
      <c r="A25" s="3">
        <v>1966</v>
      </c>
      <c r="B25" s="3" t="s">
        <v>67</v>
      </c>
      <c r="C25" s="3" t="str">
        <f>VLOOKUP($B25, '[1]HURDAT Query'!$A$1:$F$1030, 3, 0)</f>
        <v>BECKY</v>
      </c>
      <c r="D25" s="3">
        <f>VLOOKUP($B25, '[1]HURDAT Query'!$A$1:$F$1030, 4, 0)</f>
        <v>1</v>
      </c>
      <c r="E25" s="3">
        <f>VLOOKUP($B25, '[1]HURDAT Query'!$A$1:$F$1030, 5, 0)</f>
        <v>75</v>
      </c>
      <c r="F25" s="3">
        <f>VLOOKUP($B25, '[1]HURDAT Query'!$A$1:$F$1030, 6, 0)</f>
        <v>984</v>
      </c>
      <c r="G25" s="3" t="str">
        <f>_xlfn.IFNA(VLOOKUP(B25, '[1]Landfall Stats'!A:G, 7, 0), "No LF")</f>
        <v>No LF</v>
      </c>
      <c r="H25" s="3" t="str">
        <f>_xlfn.IFNA(VLOOKUP(B25, '[1]Landfall Stats'!A:G, 5, 0), "No LF")</f>
        <v>No LF</v>
      </c>
      <c r="I25" s="3" t="str">
        <f>_xlfn.IFNA(VLOOKUP(B25, '[1]Landfall Stats'!A:G, 6, 0), "No LF")</f>
        <v>No LF</v>
      </c>
      <c r="J25" s="4" t="s">
        <v>66</v>
      </c>
      <c r="K25" s="3">
        <v>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2.75" customHeight="1" x14ac:dyDescent="0.2">
      <c r="A26" s="3">
        <v>1966</v>
      </c>
      <c r="B26" s="3" t="s">
        <v>68</v>
      </c>
      <c r="C26" s="3" t="str">
        <f>VLOOKUP($B26, '[1]HURDAT Query'!$A$1:$F$1030, 3, 0)</f>
        <v>CELIA</v>
      </c>
      <c r="D26" s="3">
        <f>VLOOKUP($B26, '[1]HURDAT Query'!$A$1:$F$1030, 4, 0)</f>
        <v>1</v>
      </c>
      <c r="E26" s="3">
        <f>VLOOKUP($B26, '[1]HURDAT Query'!$A$1:$F$1030, 5, 0)</f>
        <v>65</v>
      </c>
      <c r="F26" s="3">
        <f>VLOOKUP($B26, '[1]HURDAT Query'!$A$1:$F$1030, 6, 0)</f>
        <v>994</v>
      </c>
      <c r="G26" s="3" t="str">
        <f>_xlfn.IFNA(VLOOKUP(B26, '[1]Landfall Stats'!A:G, 7, 0), "No LF")</f>
        <v>No LF</v>
      </c>
      <c r="H26" s="3" t="str">
        <f>_xlfn.IFNA(VLOOKUP(B26, '[1]Landfall Stats'!A:G, 5, 0), "No LF")</f>
        <v>No LF</v>
      </c>
      <c r="I26" s="3" t="str">
        <f>_xlfn.IFNA(VLOOKUP(B26, '[1]Landfall Stats'!A:G, 6, 0), "No LF")</f>
        <v>No LF</v>
      </c>
      <c r="J26" s="5" t="s">
        <v>66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2.75" customHeight="1" x14ac:dyDescent="0.2">
      <c r="A27" s="3">
        <v>1966</v>
      </c>
      <c r="B27" s="3" t="s">
        <v>69</v>
      </c>
      <c r="C27" s="3" t="str">
        <f>VLOOKUP($B27, '[1]HURDAT Query'!$A$1:$F$1030, 3, 0)</f>
        <v>DOROTHY</v>
      </c>
      <c r="D27" s="3">
        <f>VLOOKUP($B27, '[1]HURDAT Query'!$A$1:$F$1030, 4, 0)</f>
        <v>1</v>
      </c>
      <c r="E27" s="3">
        <f>VLOOKUP($B27, '[1]HURDAT Query'!$A$1:$F$1030, 5, 0)</f>
        <v>75</v>
      </c>
      <c r="F27" s="3">
        <f>VLOOKUP($B27, '[1]HURDAT Query'!$A$1:$F$1030, 6, 0)</f>
        <v>989</v>
      </c>
      <c r="G27" s="3" t="str">
        <f>_xlfn.IFNA(VLOOKUP(B27, '[1]Landfall Stats'!A:G, 7, 0), "No LF")</f>
        <v>No LF</v>
      </c>
      <c r="H27" s="3" t="str">
        <f>_xlfn.IFNA(VLOOKUP(B27, '[1]Landfall Stats'!A:G, 5, 0), "No LF")</f>
        <v>No LF</v>
      </c>
      <c r="I27" s="3" t="str">
        <f>_xlfn.IFNA(VLOOKUP(B27, '[1]Landfall Stats'!A:G, 6, 0), "No LF")</f>
        <v>No LF</v>
      </c>
      <c r="J27" s="5" t="s">
        <v>66</v>
      </c>
      <c r="K27" s="3">
        <v>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2.75" customHeight="1" x14ac:dyDescent="0.2">
      <c r="A28" s="3">
        <v>1966</v>
      </c>
      <c r="B28" s="3" t="s">
        <v>70</v>
      </c>
      <c r="C28" s="3" t="str">
        <f>VLOOKUP($B28, '[1]HURDAT Query'!$A$1:$F$1030, 3, 0)</f>
        <v>ELLA</v>
      </c>
      <c r="D28" s="3" t="str">
        <f>VLOOKUP($B28, '[1]HURDAT Query'!$A$1:$F$1030, 4, 0)</f>
        <v>NA</v>
      </c>
      <c r="E28" s="3" t="str">
        <f>VLOOKUP($B28, '[1]HURDAT Query'!$A$1:$F$1030, 5, 0)</f>
        <v>NA</v>
      </c>
      <c r="F28" s="3" t="str">
        <f>VLOOKUP($B28, '[1]HURDAT Query'!$A$1:$F$1030, 6, 0)</f>
        <v>NA</v>
      </c>
      <c r="G28" s="3" t="str">
        <f>_xlfn.IFNA(VLOOKUP(B28, '[1]Landfall Stats'!A:G, 7, 0), "No LF")</f>
        <v>No LF</v>
      </c>
      <c r="H28" s="3" t="str">
        <f>_xlfn.IFNA(VLOOKUP(B28, '[1]Landfall Stats'!A:G, 5, 0), "No LF")</f>
        <v>No LF</v>
      </c>
      <c r="I28" s="3" t="str">
        <f>_xlfn.IFNA(VLOOKUP(B28, '[1]Landfall Stats'!A:G, 6, 0), "No LF")</f>
        <v>No LF</v>
      </c>
      <c r="J28" s="5" t="s">
        <v>66</v>
      </c>
      <c r="K28" s="3">
        <v>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2.75" customHeight="1" x14ac:dyDescent="0.2">
      <c r="A29" s="3">
        <v>1966</v>
      </c>
      <c r="B29" s="3" t="s">
        <v>71</v>
      </c>
      <c r="C29" s="3" t="str">
        <f>VLOOKUP($B29, '[1]HURDAT Query'!$A$1:$F$1030, 3, 0)</f>
        <v>FAITH</v>
      </c>
      <c r="D29" s="3">
        <f>VLOOKUP($B29, '[1]HURDAT Query'!$A$1:$F$1030, 4, 0)</f>
        <v>3</v>
      </c>
      <c r="E29" s="3">
        <f>VLOOKUP($B29, '[1]HURDAT Query'!$A$1:$F$1030, 5, 0)</f>
        <v>105</v>
      </c>
      <c r="F29" s="3">
        <f>VLOOKUP($B29, '[1]HURDAT Query'!$A$1:$F$1030, 6, 0)</f>
        <v>950</v>
      </c>
      <c r="G29" s="3" t="str">
        <f>_xlfn.IFNA(VLOOKUP(B29, '[1]Landfall Stats'!A:G, 7, 0), "No LF")</f>
        <v>No LF</v>
      </c>
      <c r="H29" s="3" t="str">
        <f>_xlfn.IFNA(VLOOKUP(B29, '[1]Landfall Stats'!A:G, 5, 0), "No LF")</f>
        <v>No LF</v>
      </c>
      <c r="I29" s="3" t="str">
        <f>_xlfn.IFNA(VLOOKUP(B29, '[1]Landfall Stats'!A:G, 6, 0), "No LF")</f>
        <v>No LF</v>
      </c>
      <c r="J29" s="5" t="s">
        <v>66</v>
      </c>
      <c r="K29" s="3">
        <v>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2.75" customHeight="1" x14ac:dyDescent="0.2">
      <c r="A30" s="3">
        <v>1966</v>
      </c>
      <c r="B30" s="3" t="s">
        <v>72</v>
      </c>
      <c r="C30" s="3" t="str">
        <f>VLOOKUP($B30, '[1]HURDAT Query'!$A$1:$F$1030, 3, 0)</f>
        <v>GRETA</v>
      </c>
      <c r="D30" s="3" t="str">
        <f>VLOOKUP($B30, '[1]HURDAT Query'!$A$1:$F$1030, 4, 0)</f>
        <v>NA</v>
      </c>
      <c r="E30" s="3" t="str">
        <f>VLOOKUP($B30, '[1]HURDAT Query'!$A$1:$F$1030, 5, 0)</f>
        <v>NA</v>
      </c>
      <c r="F30" s="3" t="str">
        <f>VLOOKUP($B30, '[1]HURDAT Query'!$A$1:$F$1030, 6, 0)</f>
        <v>NA</v>
      </c>
      <c r="G30" s="3" t="str">
        <f>_xlfn.IFNA(VLOOKUP(B30, '[1]Landfall Stats'!A:G, 7, 0), "No LF")</f>
        <v>No LF</v>
      </c>
      <c r="H30" s="3" t="str">
        <f>_xlfn.IFNA(VLOOKUP(B30, '[1]Landfall Stats'!A:G, 5, 0), "No LF")</f>
        <v>No LF</v>
      </c>
      <c r="I30" s="3" t="str">
        <f>_xlfn.IFNA(VLOOKUP(B30, '[1]Landfall Stats'!A:G, 6, 0), "No LF")</f>
        <v>No LF</v>
      </c>
      <c r="J30" s="5" t="s">
        <v>66</v>
      </c>
      <c r="K30" s="3">
        <v>0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2.75" customHeight="1" x14ac:dyDescent="0.2">
      <c r="A31" s="3">
        <v>1966</v>
      </c>
      <c r="B31" s="3" t="s">
        <v>73</v>
      </c>
      <c r="C31" s="3" t="str">
        <f>VLOOKUP($B31, '[1]HURDAT Query'!$A$1:$F$1030, 3, 0)</f>
        <v>HALLIE</v>
      </c>
      <c r="D31" s="3" t="str">
        <f>VLOOKUP($B31, '[1]HURDAT Query'!$A$1:$F$1030, 4, 0)</f>
        <v>NA</v>
      </c>
      <c r="E31" s="3" t="str">
        <f>VLOOKUP($B31, '[1]HURDAT Query'!$A$1:$F$1030, 5, 0)</f>
        <v>NA</v>
      </c>
      <c r="F31" s="3" t="str">
        <f>VLOOKUP($B31, '[1]HURDAT Query'!$A$1:$F$1030, 6, 0)</f>
        <v>NA</v>
      </c>
      <c r="G31" s="3" t="str">
        <f>_xlfn.IFNA(VLOOKUP(B31, '[1]Landfall Stats'!A:G, 7, 0), "No LF")</f>
        <v>No LF</v>
      </c>
      <c r="H31" s="3" t="str">
        <f>_xlfn.IFNA(VLOOKUP(B31, '[1]Landfall Stats'!A:G, 5, 0), "No LF")</f>
        <v>No LF</v>
      </c>
      <c r="I31" s="3" t="str">
        <f>_xlfn.IFNA(VLOOKUP(B31, '[1]Landfall Stats'!A:G, 6, 0), "No LF")</f>
        <v>No LF</v>
      </c>
      <c r="J31" s="5" t="s">
        <v>66</v>
      </c>
      <c r="K31" s="3">
        <v>0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2.75" customHeight="1" x14ac:dyDescent="0.2">
      <c r="A32" s="3">
        <v>1966</v>
      </c>
      <c r="B32" s="3" t="s">
        <v>74</v>
      </c>
      <c r="C32" s="3" t="str">
        <f>VLOOKUP($B32, '[1]HURDAT Query'!$A$1:$F$1030, 3, 0)</f>
        <v>INEZ</v>
      </c>
      <c r="D32" s="3">
        <f>VLOOKUP($B32, '[1]HURDAT Query'!$A$1:$F$1030, 4, 0)</f>
        <v>5</v>
      </c>
      <c r="E32" s="3">
        <f>VLOOKUP($B32, '[1]HURDAT Query'!$A$1:$F$1030, 5, 0)</f>
        <v>140</v>
      </c>
      <c r="F32" s="3">
        <f>VLOOKUP($B32, '[1]HURDAT Query'!$A$1:$F$1030, 6, 0)</f>
        <v>927</v>
      </c>
      <c r="G32" s="3" t="str">
        <f>_xlfn.IFNA(VLOOKUP(B32, '[1]Landfall Stats'!A:G, 7, 0), "No LF")</f>
        <v>No LF</v>
      </c>
      <c r="H32" s="3" t="str">
        <f>_xlfn.IFNA(VLOOKUP(B32, '[1]Landfall Stats'!A:G, 5, 0), "No LF")</f>
        <v>No LF</v>
      </c>
      <c r="I32" s="3" t="str">
        <f>_xlfn.IFNA(VLOOKUP(B32, '[1]Landfall Stats'!A:G, 6, 0), "No LF")</f>
        <v>No LF</v>
      </c>
      <c r="J32" s="5" t="s">
        <v>66</v>
      </c>
      <c r="K32" s="3">
        <v>48</v>
      </c>
      <c r="L32" s="3"/>
      <c r="M32" s="3"/>
      <c r="N32" s="3"/>
      <c r="O32" s="3"/>
      <c r="P32" s="3">
        <v>45</v>
      </c>
      <c r="Q32" s="3" t="s">
        <v>51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>
        <v>3</v>
      </c>
      <c r="AE32" s="3" t="s">
        <v>51</v>
      </c>
    </row>
    <row r="33" spans="1:31" ht="12.75" customHeight="1" x14ac:dyDescent="0.2">
      <c r="A33" s="3">
        <v>1966</v>
      </c>
      <c r="B33" s="3" t="s">
        <v>75</v>
      </c>
      <c r="C33" s="3" t="str">
        <f>VLOOKUP($B33, '[1]HURDAT Query'!$A$1:$F$1030, 3, 0)</f>
        <v>JUDITH</v>
      </c>
      <c r="D33" s="3" t="str">
        <f>VLOOKUP($B33, '[1]HURDAT Query'!$A$1:$F$1030, 4, 0)</f>
        <v>NA</v>
      </c>
      <c r="E33" s="3" t="str">
        <f>VLOOKUP($B33, '[1]HURDAT Query'!$A$1:$F$1030, 5, 0)</f>
        <v>NA</v>
      </c>
      <c r="F33" s="3" t="str">
        <f>VLOOKUP($B33, '[1]HURDAT Query'!$A$1:$F$1030, 6, 0)</f>
        <v>NA</v>
      </c>
      <c r="G33" s="3" t="str">
        <f>_xlfn.IFNA(VLOOKUP(B33, '[1]Landfall Stats'!A:G, 7, 0), "No LF")</f>
        <v>No LF</v>
      </c>
      <c r="H33" s="3" t="str">
        <f>_xlfn.IFNA(VLOOKUP(B33, '[1]Landfall Stats'!A:G, 5, 0), "No LF")</f>
        <v>No LF</v>
      </c>
      <c r="I33" s="3" t="str">
        <f>_xlfn.IFNA(VLOOKUP(B33, '[1]Landfall Stats'!A:G, 6, 0), "No LF")</f>
        <v>No LF</v>
      </c>
      <c r="J33" s="5" t="s">
        <v>66</v>
      </c>
      <c r="K33" s="3">
        <v>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2.75" customHeight="1" x14ac:dyDescent="0.2">
      <c r="A34" s="3">
        <v>1966</v>
      </c>
      <c r="B34" s="3" t="s">
        <v>76</v>
      </c>
      <c r="C34" s="3" t="str">
        <f>VLOOKUP($B34, '[1]HURDAT Query'!$A$1:$F$1030, 3, 0)</f>
        <v>LOIS</v>
      </c>
      <c r="D34" s="3">
        <f>VLOOKUP($B34, '[1]HURDAT Query'!$A$1:$F$1030, 4, 0)</f>
        <v>1</v>
      </c>
      <c r="E34" s="3">
        <f>VLOOKUP($B34, '[1]HURDAT Query'!$A$1:$F$1030, 5, 0)</f>
        <v>75</v>
      </c>
      <c r="F34" s="3">
        <f>VLOOKUP($B34, '[1]HURDAT Query'!$A$1:$F$1030, 6, 0)</f>
        <v>983</v>
      </c>
      <c r="G34" s="3" t="str">
        <f>_xlfn.IFNA(VLOOKUP(B34, '[1]Landfall Stats'!A:G, 7, 0), "No LF")</f>
        <v>No LF</v>
      </c>
      <c r="H34" s="3" t="str">
        <f>_xlfn.IFNA(VLOOKUP(B34, '[1]Landfall Stats'!A:G, 5, 0), "No LF")</f>
        <v>No LF</v>
      </c>
      <c r="I34" s="3" t="str">
        <f>_xlfn.IFNA(VLOOKUP(B34, '[1]Landfall Stats'!A:G, 6, 0), "No LF")</f>
        <v>No LF</v>
      </c>
      <c r="J34" s="5" t="s">
        <v>66</v>
      </c>
      <c r="K34" s="3">
        <v>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2.75" customHeight="1" x14ac:dyDescent="0.2">
      <c r="A35" s="3">
        <v>1966</v>
      </c>
      <c r="B35" s="3" t="s">
        <v>77</v>
      </c>
      <c r="C35" s="3" t="str">
        <f>VLOOKUP($B35, '[1]HURDAT Query'!$A$1:$F$1030, 3, 0)</f>
        <v>KENDRA</v>
      </c>
      <c r="D35" s="3" t="str">
        <f>VLOOKUP($B35, '[1]HURDAT Query'!$A$1:$F$1030, 4, 0)</f>
        <v>NA</v>
      </c>
      <c r="E35" s="3" t="str">
        <f>VLOOKUP($B35, '[1]HURDAT Query'!$A$1:$F$1030, 5, 0)</f>
        <v>NA</v>
      </c>
      <c r="F35" s="3" t="str">
        <f>VLOOKUP($B35, '[1]HURDAT Query'!$A$1:$F$1030, 6, 0)</f>
        <v>NA</v>
      </c>
      <c r="G35" s="3" t="str">
        <f>_xlfn.IFNA(VLOOKUP(B35, '[1]Landfall Stats'!A:G, 7, 0), "No LF")</f>
        <v>No LF</v>
      </c>
      <c r="H35" s="3" t="str">
        <f>_xlfn.IFNA(VLOOKUP(B35, '[1]Landfall Stats'!A:G, 5, 0), "No LF")</f>
        <v>No LF</v>
      </c>
      <c r="I35" s="3" t="str">
        <f>_xlfn.IFNA(VLOOKUP(B35, '[1]Landfall Stats'!A:G, 6, 0), "No LF")</f>
        <v>No LF</v>
      </c>
      <c r="J35" s="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2.75" customHeight="1" x14ac:dyDescent="0.2">
      <c r="A36" s="3">
        <v>1967</v>
      </c>
      <c r="B36" s="3" t="s">
        <v>78</v>
      </c>
      <c r="C36" s="3" t="str">
        <f>VLOOKUP($B36, '[1]HURDAT Query'!$A$1:$F$1030, 3, 0)</f>
        <v>ARLENE</v>
      </c>
      <c r="D36" s="3">
        <f>VLOOKUP($B36, '[1]HURDAT Query'!$A$1:$F$1030, 4, 0)</f>
        <v>1</v>
      </c>
      <c r="E36" s="3">
        <f>VLOOKUP($B36, '[1]HURDAT Query'!$A$1:$F$1030, 5, 0)</f>
        <v>80</v>
      </c>
      <c r="F36" s="3">
        <f>VLOOKUP($B36, '[1]HURDAT Query'!$A$1:$F$1030, 6, 0)</f>
        <v>982</v>
      </c>
      <c r="G36" s="3" t="str">
        <f>_xlfn.IFNA(VLOOKUP(B36, '[1]Landfall Stats'!A:G, 7, 0), "No LF")</f>
        <v>No LF</v>
      </c>
      <c r="H36" s="3" t="str">
        <f>_xlfn.IFNA(VLOOKUP(B36, '[1]Landfall Stats'!A:G, 5, 0), "No LF")</f>
        <v>No LF</v>
      </c>
      <c r="I36" s="3" t="str">
        <f>_xlfn.IFNA(VLOOKUP(B36, '[1]Landfall Stats'!A:G, 6, 0), "No LF")</f>
        <v>No LF</v>
      </c>
      <c r="J36" s="5" t="s">
        <v>79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2.75" x14ac:dyDescent="0.2">
      <c r="A37" s="3">
        <v>1967</v>
      </c>
      <c r="B37" s="3" t="s">
        <v>80</v>
      </c>
      <c r="C37" s="3" t="str">
        <f>VLOOKUP($B37, '[1]HURDAT Query'!$A$1:$F$1030, 3, 0)</f>
        <v>CHLOE</v>
      </c>
      <c r="D37" s="3">
        <f>VLOOKUP($B37, '[1]HURDAT Query'!$A$1:$F$1030, 4, 0)</f>
        <v>2</v>
      </c>
      <c r="E37" s="3">
        <f>VLOOKUP($B37, '[1]HURDAT Query'!$A$1:$F$1030, 5, 0)</f>
        <v>95</v>
      </c>
      <c r="F37" s="3">
        <f>VLOOKUP($B37, '[1]HURDAT Query'!$A$1:$F$1030, 6, 0)</f>
        <v>958</v>
      </c>
      <c r="G37" s="3" t="str">
        <f>_xlfn.IFNA(VLOOKUP(B37, '[1]Landfall Stats'!A:G, 7, 0), "No LF")</f>
        <v>No LF</v>
      </c>
      <c r="H37" s="3" t="str">
        <f>_xlfn.IFNA(VLOOKUP(B37, '[1]Landfall Stats'!A:G, 5, 0), "No LF")</f>
        <v>No LF</v>
      </c>
      <c r="I37" s="3" t="str">
        <f>_xlfn.IFNA(VLOOKUP(B37, '[1]Landfall Stats'!A:G, 6, 0), "No LF")</f>
        <v>No LF</v>
      </c>
      <c r="J37" s="5" t="s">
        <v>79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2.75" customHeight="1" x14ac:dyDescent="0.2">
      <c r="A38" s="3">
        <v>1967</v>
      </c>
      <c r="B38" s="3" t="s">
        <v>81</v>
      </c>
      <c r="C38" s="3" t="str">
        <f>VLOOKUP($B38, '[1]HURDAT Query'!$A$1:$F$1030, 3, 0)</f>
        <v>BEULAH</v>
      </c>
      <c r="D38" s="3">
        <f>VLOOKUP($B38, '[1]HURDAT Query'!$A$1:$F$1030, 4, 0)</f>
        <v>5</v>
      </c>
      <c r="E38" s="3">
        <f>VLOOKUP($B38, '[1]HURDAT Query'!$A$1:$F$1030, 5, 0)</f>
        <v>140</v>
      </c>
      <c r="F38" s="3">
        <f>VLOOKUP($B38, '[1]HURDAT Query'!$A$1:$F$1030, 6, 0)</f>
        <v>923</v>
      </c>
      <c r="G38" s="3" t="str">
        <f>_xlfn.IFNA(VLOOKUP(B38, '[1]Landfall Stats'!A:G, 7, 0), "No LF")</f>
        <v>No LF</v>
      </c>
      <c r="H38" s="3" t="str">
        <f>_xlfn.IFNA(VLOOKUP(B38, '[1]Landfall Stats'!A:G, 5, 0), "No LF")</f>
        <v>No LF</v>
      </c>
      <c r="I38" s="3" t="str">
        <f>_xlfn.IFNA(VLOOKUP(B38, '[1]Landfall Stats'!A:G, 6, 0), "No LF")</f>
        <v>No LF</v>
      </c>
      <c r="J38" s="4" t="s">
        <v>82</v>
      </c>
      <c r="K38" s="3">
        <v>44</v>
      </c>
      <c r="L38" s="3"/>
      <c r="M38" s="3"/>
      <c r="N38" s="3"/>
      <c r="O38" s="3"/>
      <c r="P38" s="3"/>
      <c r="Q38" s="3"/>
      <c r="R38" s="3"/>
      <c r="S38" s="3"/>
      <c r="T38" s="3">
        <v>39</v>
      </c>
      <c r="U38" s="3" t="s">
        <v>38</v>
      </c>
      <c r="V38" s="3"/>
      <c r="W38" s="3"/>
      <c r="X38" s="3"/>
      <c r="Y38" s="3"/>
      <c r="Z38" s="3">
        <v>5</v>
      </c>
      <c r="AA38" s="3" t="s">
        <v>38</v>
      </c>
      <c r="AB38" s="3"/>
      <c r="AC38" s="3"/>
      <c r="AD38" s="3"/>
      <c r="AE38" s="3"/>
    </row>
    <row r="39" spans="1:31" ht="12.75" customHeight="1" x14ac:dyDescent="0.2">
      <c r="A39" s="3">
        <v>1967</v>
      </c>
      <c r="B39" s="3" t="s">
        <v>83</v>
      </c>
      <c r="C39" s="3" t="str">
        <f>VLOOKUP($B39, '[1]HURDAT Query'!$A$1:$F$1030, 3, 0)</f>
        <v>DORIA</v>
      </c>
      <c r="D39" s="3">
        <f>VLOOKUP($B39, '[1]HURDAT Query'!$A$1:$F$1030, 4, 0)</f>
        <v>2</v>
      </c>
      <c r="E39" s="3">
        <f>VLOOKUP($B39, '[1]HURDAT Query'!$A$1:$F$1030, 5, 0)</f>
        <v>85</v>
      </c>
      <c r="F39" s="3">
        <f>VLOOKUP($B39, '[1]HURDAT Query'!$A$1:$F$1030, 6, 0)</f>
        <v>973</v>
      </c>
      <c r="G39" s="3" t="str">
        <f>_xlfn.IFNA(VLOOKUP(B39, '[1]Landfall Stats'!A:G, 7, 0), "No LF")</f>
        <v>No LF</v>
      </c>
      <c r="H39" s="3" t="str">
        <f>_xlfn.IFNA(VLOOKUP(B39, '[1]Landfall Stats'!A:G, 5, 0), "No LF")</f>
        <v>No LF</v>
      </c>
      <c r="I39" s="3" t="str">
        <f>_xlfn.IFNA(VLOOKUP(B39, '[1]Landfall Stats'!A:G, 6, 0), "No LF")</f>
        <v>No LF</v>
      </c>
      <c r="J39" s="5" t="s">
        <v>79</v>
      </c>
      <c r="K39" s="3">
        <v>3</v>
      </c>
      <c r="L39" s="3"/>
      <c r="M39" s="3"/>
      <c r="N39" s="3"/>
      <c r="O39" s="3"/>
      <c r="P39" s="3">
        <v>3</v>
      </c>
      <c r="Q39" s="3" t="s">
        <v>84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2.75" customHeight="1" x14ac:dyDescent="0.2">
      <c r="A40" s="3">
        <v>1967</v>
      </c>
      <c r="B40" s="3" t="s">
        <v>85</v>
      </c>
      <c r="C40" s="3" t="str">
        <f>VLOOKUP($B40, '[1]HURDAT Query'!$A$1:$F$1030, 3, 0)</f>
        <v>EDITH</v>
      </c>
      <c r="D40" s="3" t="str">
        <f>VLOOKUP($B40, '[1]HURDAT Query'!$A$1:$F$1030, 4, 0)</f>
        <v>NA</v>
      </c>
      <c r="E40" s="3" t="str">
        <f>VLOOKUP($B40, '[1]HURDAT Query'!$A$1:$F$1030, 5, 0)</f>
        <v>NA</v>
      </c>
      <c r="F40" s="3" t="str">
        <f>VLOOKUP($B40, '[1]HURDAT Query'!$A$1:$F$1030, 6, 0)</f>
        <v>NA</v>
      </c>
      <c r="G40" s="3" t="str">
        <f>_xlfn.IFNA(VLOOKUP(B40, '[1]Landfall Stats'!A:G, 7, 0), "No LF")</f>
        <v>No LF</v>
      </c>
      <c r="H40" s="3" t="str">
        <f>_xlfn.IFNA(VLOOKUP(B40, '[1]Landfall Stats'!A:G, 5, 0), "No LF")</f>
        <v>No LF</v>
      </c>
      <c r="I40" s="3" t="str">
        <f>_xlfn.IFNA(VLOOKUP(B40, '[1]Landfall Stats'!A:G, 6, 0), "No LF")</f>
        <v>No LF</v>
      </c>
      <c r="J40" s="5" t="s">
        <v>79</v>
      </c>
      <c r="K40" s="3">
        <v>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2.75" customHeight="1" x14ac:dyDescent="0.2">
      <c r="A41" s="3">
        <v>1967</v>
      </c>
      <c r="B41" s="3" t="s">
        <v>86</v>
      </c>
      <c r="C41" s="3" t="str">
        <f>VLOOKUP($B41, '[1]HURDAT Query'!$A$1:$F$1030, 3, 0)</f>
        <v>FERN</v>
      </c>
      <c r="D41" s="3">
        <f>VLOOKUP($B41, '[1]HURDAT Query'!$A$1:$F$1030, 4, 0)</f>
        <v>1</v>
      </c>
      <c r="E41" s="3">
        <f>VLOOKUP($B41, '[1]HURDAT Query'!$A$1:$F$1030, 5, 0)</f>
        <v>65</v>
      </c>
      <c r="F41" s="3">
        <f>VLOOKUP($B41, '[1]HURDAT Query'!$A$1:$F$1030, 6, 0)</f>
        <v>987</v>
      </c>
      <c r="G41" s="3" t="str">
        <f>_xlfn.IFNA(VLOOKUP(B41, '[1]Landfall Stats'!A:G, 7, 0), "No LF")</f>
        <v>No LF</v>
      </c>
      <c r="H41" s="3" t="str">
        <f>_xlfn.IFNA(VLOOKUP(B41, '[1]Landfall Stats'!A:G, 5, 0), "No LF")</f>
        <v>No LF</v>
      </c>
      <c r="I41" s="3" t="str">
        <f>_xlfn.IFNA(VLOOKUP(B41, '[1]Landfall Stats'!A:G, 6, 0), "No LF")</f>
        <v>No LF</v>
      </c>
      <c r="J41" s="5" t="s">
        <v>79</v>
      </c>
      <c r="K41" s="3">
        <v>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2.75" customHeight="1" x14ac:dyDescent="0.2">
      <c r="A42" s="3">
        <v>1967</v>
      </c>
      <c r="B42" s="3" t="s">
        <v>87</v>
      </c>
      <c r="C42" s="3" t="str">
        <f>VLOOKUP($B42, '[1]HURDAT Query'!$A$1:$F$1030, 3, 0)</f>
        <v>GINGER</v>
      </c>
      <c r="D42" s="3" t="str">
        <f>VLOOKUP($B42, '[1]HURDAT Query'!$A$1:$F$1030, 4, 0)</f>
        <v>NA</v>
      </c>
      <c r="E42" s="3" t="str">
        <f>VLOOKUP($B42, '[1]HURDAT Query'!$A$1:$F$1030, 5, 0)</f>
        <v>NA</v>
      </c>
      <c r="F42" s="3" t="str">
        <f>VLOOKUP($B42, '[1]HURDAT Query'!$A$1:$F$1030, 6, 0)</f>
        <v>NA</v>
      </c>
      <c r="G42" s="3" t="str">
        <f>_xlfn.IFNA(VLOOKUP(B42, '[1]Landfall Stats'!A:G, 7, 0), "No LF")</f>
        <v>No LF</v>
      </c>
      <c r="H42" s="3" t="str">
        <f>_xlfn.IFNA(VLOOKUP(B42, '[1]Landfall Stats'!A:G, 5, 0), "No LF")</f>
        <v>No LF</v>
      </c>
      <c r="I42" s="3" t="str">
        <f>_xlfn.IFNA(VLOOKUP(B42, '[1]Landfall Stats'!A:G, 6, 0), "No LF")</f>
        <v>No LF</v>
      </c>
      <c r="J42" s="5" t="s">
        <v>79</v>
      </c>
      <c r="K42" s="3">
        <v>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2.75" customHeight="1" x14ac:dyDescent="0.2">
      <c r="A43" s="3">
        <v>1967</v>
      </c>
      <c r="B43" s="3" t="s">
        <v>88</v>
      </c>
      <c r="C43" s="3" t="str">
        <f>VLOOKUP($B43, '[1]HURDAT Query'!$A$1:$F$1030, 3, 0)</f>
        <v>HEIDI</v>
      </c>
      <c r="D43" s="3">
        <f>VLOOKUP($B43, '[1]HURDAT Query'!$A$1:$F$1030, 4, 0)</f>
        <v>1</v>
      </c>
      <c r="E43" s="3">
        <f>VLOOKUP($B43, '[1]HURDAT Query'!$A$1:$F$1030, 5, 0)</f>
        <v>75</v>
      </c>
      <c r="F43" s="3">
        <f>VLOOKUP($B43, '[1]HURDAT Query'!$A$1:$F$1030, 6, 0)</f>
        <v>981</v>
      </c>
      <c r="G43" s="3" t="str">
        <f>_xlfn.IFNA(VLOOKUP(B43, '[1]Landfall Stats'!A:G, 7, 0), "No LF")</f>
        <v>No LF</v>
      </c>
      <c r="H43" s="3" t="str">
        <f>_xlfn.IFNA(VLOOKUP(B43, '[1]Landfall Stats'!A:G, 5, 0), "No LF")</f>
        <v>No LF</v>
      </c>
      <c r="I43" s="3" t="str">
        <f>_xlfn.IFNA(VLOOKUP(B43, '[1]Landfall Stats'!A:G, 6, 0), "No LF")</f>
        <v>No LF</v>
      </c>
      <c r="J43" s="5" t="s">
        <v>79</v>
      </c>
      <c r="K43" s="3">
        <v>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2.75" customHeight="1" x14ac:dyDescent="0.2">
      <c r="A44" s="3">
        <v>1968</v>
      </c>
      <c r="B44" s="3" t="s">
        <v>89</v>
      </c>
      <c r="C44" s="3" t="str">
        <f>VLOOKUP($B44, '[1]HURDAT Query'!$A$1:$F$1030, 3, 0)</f>
        <v>ABBY</v>
      </c>
      <c r="D44" s="3">
        <f>VLOOKUP($B44, '[1]HURDAT Query'!$A$1:$F$1030, 4, 0)</f>
        <v>1</v>
      </c>
      <c r="E44" s="3">
        <f>VLOOKUP($B44, '[1]HURDAT Query'!$A$1:$F$1030, 5, 0)</f>
        <v>65</v>
      </c>
      <c r="F44" s="3">
        <f>VLOOKUP($B44, '[1]HURDAT Query'!$A$1:$F$1030, 6, 0)</f>
        <v>994</v>
      </c>
      <c r="G44" s="3" t="str">
        <f>_xlfn.IFNA(VLOOKUP(B44, '[1]Landfall Stats'!A:G, 7, 0), "No LF")</f>
        <v>No LF</v>
      </c>
      <c r="H44" s="3" t="str">
        <f>_xlfn.IFNA(VLOOKUP(B44, '[1]Landfall Stats'!A:G, 5, 0), "No LF")</f>
        <v>No LF</v>
      </c>
      <c r="I44" s="3" t="str">
        <f>_xlfn.IFNA(VLOOKUP(B44, '[1]Landfall Stats'!A:G, 6, 0), "No LF")</f>
        <v>No LF</v>
      </c>
      <c r="J44" s="5" t="s">
        <v>90</v>
      </c>
      <c r="K44" s="3">
        <v>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2.75" customHeight="1" x14ac:dyDescent="0.2">
      <c r="A45" s="3">
        <v>1968</v>
      </c>
      <c r="B45" s="3" t="s">
        <v>91</v>
      </c>
      <c r="C45" s="3" t="str">
        <f>VLOOKUP($B45, '[1]HURDAT Query'!$A$1:$F$1030, 3, 0)</f>
        <v>BRENDA</v>
      </c>
      <c r="D45" s="3">
        <f>VLOOKUP($B45, '[1]HURDAT Query'!$A$1:$F$1030, 4, 0)</f>
        <v>1</v>
      </c>
      <c r="E45" s="3">
        <f>VLOOKUP($B45, '[1]HURDAT Query'!$A$1:$F$1030, 5, 0)</f>
        <v>70</v>
      </c>
      <c r="F45" s="3">
        <f>VLOOKUP($B45, '[1]HURDAT Query'!$A$1:$F$1030, 6, 0)</f>
        <v>990</v>
      </c>
      <c r="G45" s="3" t="str">
        <f>_xlfn.IFNA(VLOOKUP(B45, '[1]Landfall Stats'!A:G, 7, 0), "No LF")</f>
        <v>NA</v>
      </c>
      <c r="H45" s="3">
        <f>_xlfn.IFNA(VLOOKUP(B45, '[1]Landfall Stats'!A:G, 5, 0), "No LF")</f>
        <v>25</v>
      </c>
      <c r="I45" s="3" t="str">
        <f>_xlfn.IFNA(VLOOKUP(B45, '[1]Landfall Stats'!A:G, 6, 0), "No LF")</f>
        <v>NA</v>
      </c>
      <c r="J45" s="5" t="s">
        <v>90</v>
      </c>
      <c r="K45" s="3">
        <v>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2.75" customHeight="1" x14ac:dyDescent="0.2">
      <c r="A46" s="3">
        <v>1968</v>
      </c>
      <c r="B46" s="3" t="s">
        <v>92</v>
      </c>
      <c r="C46" s="3" t="str">
        <f>VLOOKUP($B46, '[1]HURDAT Query'!$A$1:$F$1030, 3, 0)</f>
        <v>CANDY</v>
      </c>
      <c r="D46" s="3" t="str">
        <f>VLOOKUP($B46, '[1]HURDAT Query'!$A$1:$F$1030, 4, 0)</f>
        <v>NA</v>
      </c>
      <c r="E46" s="3" t="str">
        <f>VLOOKUP($B46, '[1]HURDAT Query'!$A$1:$F$1030, 5, 0)</f>
        <v>NA</v>
      </c>
      <c r="F46" s="3" t="str">
        <f>VLOOKUP($B46, '[1]HURDAT Query'!$A$1:$F$1030, 6, 0)</f>
        <v>NA</v>
      </c>
      <c r="G46" s="3" t="str">
        <f>_xlfn.IFNA(VLOOKUP(B46, '[1]Landfall Stats'!A:G, 7, 0), "No LF")</f>
        <v>No LF</v>
      </c>
      <c r="H46" s="3" t="str">
        <f>_xlfn.IFNA(VLOOKUP(B46, '[1]Landfall Stats'!A:G, 5, 0), "No LF")</f>
        <v>No LF</v>
      </c>
      <c r="I46" s="3" t="str">
        <f>_xlfn.IFNA(VLOOKUP(B46, '[1]Landfall Stats'!A:G, 6, 0), "No LF")</f>
        <v>No LF</v>
      </c>
      <c r="J46" s="5" t="s">
        <v>90</v>
      </c>
      <c r="K46" s="3">
        <v>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2.75" customHeight="1" x14ac:dyDescent="0.2">
      <c r="A47" s="3">
        <v>1968</v>
      </c>
      <c r="B47" s="3" t="s">
        <v>93</v>
      </c>
      <c r="C47" s="3" t="str">
        <f>VLOOKUP($B47, '[1]HURDAT Query'!$A$1:$F$1030, 3, 0)</f>
        <v>DOLLY</v>
      </c>
      <c r="D47" s="3">
        <f>VLOOKUP($B47, '[1]HURDAT Query'!$A$1:$F$1030, 4, 0)</f>
        <v>1</v>
      </c>
      <c r="E47" s="3">
        <f>VLOOKUP($B47, '[1]HURDAT Query'!$A$1:$F$1030, 5, 0)</f>
        <v>75</v>
      </c>
      <c r="F47" s="3">
        <f>VLOOKUP($B47, '[1]HURDAT Query'!$A$1:$F$1030, 6, 0)</f>
        <v>985</v>
      </c>
      <c r="G47" s="3" t="str">
        <f>_xlfn.IFNA(VLOOKUP(B47, '[1]Landfall Stats'!A:G, 7, 0), "No LF")</f>
        <v>NA</v>
      </c>
      <c r="H47" s="3">
        <f>_xlfn.IFNA(VLOOKUP(B47, '[1]Landfall Stats'!A:G, 5, 0), "No LF")</f>
        <v>30</v>
      </c>
      <c r="I47" s="3" t="str">
        <f>_xlfn.IFNA(VLOOKUP(B47, '[1]Landfall Stats'!A:G, 6, 0), "No LF")</f>
        <v>NA</v>
      </c>
      <c r="J47" s="5" t="s">
        <v>90</v>
      </c>
      <c r="K47" s="3">
        <v>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2.75" customHeight="1" x14ac:dyDescent="0.2">
      <c r="A48" s="3">
        <v>1968</v>
      </c>
      <c r="B48" s="3" t="s">
        <v>94</v>
      </c>
      <c r="C48" s="3" t="str">
        <f>VLOOKUP($B48, '[1]HURDAT Query'!$A$1:$F$1030, 3, 0)</f>
        <v>EDNA</v>
      </c>
      <c r="D48" s="3" t="str">
        <f>VLOOKUP($B48, '[1]HURDAT Query'!$A$1:$F$1030, 4, 0)</f>
        <v>NA</v>
      </c>
      <c r="E48" s="3" t="str">
        <f>VLOOKUP($B48, '[1]HURDAT Query'!$A$1:$F$1030, 5, 0)</f>
        <v>NA</v>
      </c>
      <c r="F48" s="3" t="str">
        <f>VLOOKUP($B48, '[1]HURDAT Query'!$A$1:$F$1030, 6, 0)</f>
        <v>NA</v>
      </c>
      <c r="G48" s="3" t="str">
        <f>_xlfn.IFNA(VLOOKUP(B48, '[1]Landfall Stats'!A:G, 7, 0), "No LF")</f>
        <v>No LF</v>
      </c>
      <c r="H48" s="3" t="str">
        <f>_xlfn.IFNA(VLOOKUP(B48, '[1]Landfall Stats'!A:G, 5, 0), "No LF")</f>
        <v>No LF</v>
      </c>
      <c r="I48" s="3" t="str">
        <f>_xlfn.IFNA(VLOOKUP(B48, '[1]Landfall Stats'!A:G, 6, 0), "No LF")</f>
        <v>No LF</v>
      </c>
      <c r="J48" s="5" t="s">
        <v>90</v>
      </c>
      <c r="K48" s="3">
        <v>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2.75" customHeight="1" x14ac:dyDescent="0.2">
      <c r="A49" s="3">
        <v>1968</v>
      </c>
      <c r="B49" s="3" t="s">
        <v>95</v>
      </c>
      <c r="C49" s="3" t="str">
        <f>VLOOKUP($B49, '[1]HURDAT Query'!$A$1:$F$1030, 3, 0)</f>
        <v>FRANCES</v>
      </c>
      <c r="D49" s="3" t="str">
        <f>VLOOKUP($B49, '[1]HURDAT Query'!$A$1:$F$1030, 4, 0)</f>
        <v>NA</v>
      </c>
      <c r="E49" s="3" t="str">
        <f>VLOOKUP($B49, '[1]HURDAT Query'!$A$1:$F$1030, 5, 0)</f>
        <v>NA</v>
      </c>
      <c r="F49" s="3" t="str">
        <f>VLOOKUP($B49, '[1]HURDAT Query'!$A$1:$F$1030, 6, 0)</f>
        <v>NA</v>
      </c>
      <c r="G49" s="3" t="str">
        <f>_xlfn.IFNA(VLOOKUP(B49, '[1]Landfall Stats'!A:G, 7, 0), "No LF")</f>
        <v>No LF</v>
      </c>
      <c r="H49" s="3" t="str">
        <f>_xlfn.IFNA(VLOOKUP(B49, '[1]Landfall Stats'!A:G, 5, 0), "No LF")</f>
        <v>No LF</v>
      </c>
      <c r="I49" s="3" t="str">
        <f>_xlfn.IFNA(VLOOKUP(B49, '[1]Landfall Stats'!A:G, 6, 0), "No LF")</f>
        <v>No LF</v>
      </c>
      <c r="J49" s="5" t="s">
        <v>90</v>
      </c>
      <c r="K49" s="3">
        <v>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2.75" customHeight="1" x14ac:dyDescent="0.2">
      <c r="A50" s="3">
        <v>1968</v>
      </c>
      <c r="B50" s="3" t="s">
        <v>96</v>
      </c>
      <c r="C50" s="3" t="str">
        <f>VLOOKUP($B50, '[1]HURDAT Query'!$A$1:$F$1030, 3, 0)</f>
        <v>GLADYS</v>
      </c>
      <c r="D50" s="3">
        <f>VLOOKUP($B50, '[1]HURDAT Query'!$A$1:$F$1030, 4, 0)</f>
        <v>2</v>
      </c>
      <c r="E50" s="3">
        <f>VLOOKUP($B50, '[1]HURDAT Query'!$A$1:$F$1030, 5, 0)</f>
        <v>85</v>
      </c>
      <c r="F50" s="3">
        <f>VLOOKUP($B50, '[1]HURDAT Query'!$A$1:$F$1030, 6, 0)</f>
        <v>977</v>
      </c>
      <c r="G50" s="3">
        <f>_xlfn.IFNA(VLOOKUP(B50, '[1]Landfall Stats'!A:G, 7, 0), "No LF")</f>
        <v>2</v>
      </c>
      <c r="H50" s="3">
        <f>_xlfn.IFNA(VLOOKUP(B50, '[1]Landfall Stats'!A:G, 5, 0), "No LF")</f>
        <v>85</v>
      </c>
      <c r="I50" s="3">
        <f>_xlfn.IFNA(VLOOKUP(B50, '[1]Landfall Stats'!A:G, 6, 0), "No LF")</f>
        <v>978</v>
      </c>
      <c r="J50" s="5" t="s">
        <v>90</v>
      </c>
      <c r="K50" s="3">
        <v>1</v>
      </c>
      <c r="L50" s="3"/>
      <c r="M50" s="3"/>
      <c r="N50" s="3"/>
      <c r="O50" s="3"/>
      <c r="P50" s="3"/>
      <c r="Q50" s="3"/>
      <c r="R50" s="3"/>
      <c r="S50" s="3"/>
      <c r="T50" s="3">
        <v>1</v>
      </c>
      <c r="U50" s="3" t="s">
        <v>51</v>
      </c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2.75" customHeight="1" x14ac:dyDescent="0.2">
      <c r="A51" s="3">
        <v>1969</v>
      </c>
      <c r="B51" s="3" t="s">
        <v>97</v>
      </c>
      <c r="C51" s="3" t="str">
        <f>VLOOKUP($B51, '[1]HURDAT Query'!$A$1:$F$1030, 3, 0)</f>
        <v>ANNA</v>
      </c>
      <c r="D51" s="3" t="str">
        <f>VLOOKUP($B51, '[1]HURDAT Query'!$A$1:$F$1030, 4, 0)</f>
        <v>NA</v>
      </c>
      <c r="E51" s="3" t="str">
        <f>VLOOKUP($B51, '[1]HURDAT Query'!$A$1:$F$1030, 5, 0)</f>
        <v>NA</v>
      </c>
      <c r="F51" s="3" t="str">
        <f>VLOOKUP($B51, '[1]HURDAT Query'!$A$1:$F$1030, 6, 0)</f>
        <v>NA</v>
      </c>
      <c r="G51" s="3" t="str">
        <f>_xlfn.IFNA(VLOOKUP(B51, '[1]Landfall Stats'!A:G, 7, 0), "No LF")</f>
        <v>No LF</v>
      </c>
      <c r="H51" s="3" t="str">
        <f>_xlfn.IFNA(VLOOKUP(B51, '[1]Landfall Stats'!A:G, 5, 0), "No LF")</f>
        <v>No LF</v>
      </c>
      <c r="I51" s="3" t="str">
        <f>_xlfn.IFNA(VLOOKUP(B51, '[1]Landfall Stats'!A:G, 6, 0), "No LF")</f>
        <v>No LF</v>
      </c>
      <c r="J51" s="4" t="s">
        <v>98</v>
      </c>
      <c r="K51" s="3">
        <v>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2.75" customHeight="1" x14ac:dyDescent="0.2">
      <c r="A52" s="3">
        <v>1969</v>
      </c>
      <c r="B52" s="3" t="s">
        <v>99</v>
      </c>
      <c r="C52" s="3" t="str">
        <f>VLOOKUP($B52, '[1]HURDAT Query'!$A$1:$F$1030, 3, 0)</f>
        <v>BLANCHE</v>
      </c>
      <c r="D52" s="3">
        <f>VLOOKUP($B52, '[1]HURDAT Query'!$A$1:$F$1030, 4, 0)</f>
        <v>1</v>
      </c>
      <c r="E52" s="3">
        <f>VLOOKUP($B52, '[1]HURDAT Query'!$A$1:$F$1030, 5, 0)</f>
        <v>75</v>
      </c>
      <c r="F52" s="3">
        <f>VLOOKUP($B52, '[1]HURDAT Query'!$A$1:$F$1030, 6, 0)</f>
        <v>997</v>
      </c>
      <c r="G52" s="3" t="str">
        <f>_xlfn.IFNA(VLOOKUP(B52, '[1]Landfall Stats'!A:G, 7, 0), "No LF")</f>
        <v>No LF</v>
      </c>
      <c r="H52" s="3" t="str">
        <f>_xlfn.IFNA(VLOOKUP(B52, '[1]Landfall Stats'!A:G, 5, 0), "No LF")</f>
        <v>No LF</v>
      </c>
      <c r="I52" s="3" t="str">
        <f>_xlfn.IFNA(VLOOKUP(B52, '[1]Landfall Stats'!A:G, 6, 0), "No LF")</f>
        <v>No LF</v>
      </c>
      <c r="J52" s="4" t="s">
        <v>98</v>
      </c>
      <c r="K52" s="3">
        <v>0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12.75" customHeight="1" x14ac:dyDescent="0.2">
      <c r="A53" s="3">
        <v>1969</v>
      </c>
      <c r="B53" s="3" t="s">
        <v>100</v>
      </c>
      <c r="C53" s="3" t="str">
        <f>VLOOKUP($B53, '[1]HURDAT Query'!$A$1:$F$1030, 3, 0)</f>
        <v>DEBBIE</v>
      </c>
      <c r="D53" s="3">
        <f>VLOOKUP($B53, '[1]HURDAT Query'!$A$1:$F$1030, 4, 0)</f>
        <v>3</v>
      </c>
      <c r="E53" s="3">
        <f>VLOOKUP($B53, '[1]HURDAT Query'!$A$1:$F$1030, 5, 0)</f>
        <v>110</v>
      </c>
      <c r="F53" s="3">
        <f>VLOOKUP($B53, '[1]HURDAT Query'!$A$1:$F$1030, 6, 0)</f>
        <v>950</v>
      </c>
      <c r="G53" s="3" t="str">
        <f>_xlfn.IFNA(VLOOKUP(B53, '[1]Landfall Stats'!A:G, 7, 0), "No LF")</f>
        <v>No LF</v>
      </c>
      <c r="H53" s="3" t="str">
        <f>_xlfn.IFNA(VLOOKUP(B53, '[1]Landfall Stats'!A:G, 5, 0), "No LF")</f>
        <v>No LF</v>
      </c>
      <c r="I53" s="3" t="str">
        <f>_xlfn.IFNA(VLOOKUP(B53, '[1]Landfall Stats'!A:G, 6, 0), "No LF")</f>
        <v>No LF</v>
      </c>
      <c r="J53" s="4" t="s">
        <v>98</v>
      </c>
      <c r="K53" s="3">
        <v>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2.75" customHeight="1" x14ac:dyDescent="0.2">
      <c r="A54" s="3">
        <v>1969</v>
      </c>
      <c r="B54" s="3" t="s">
        <v>101</v>
      </c>
      <c r="C54" s="3" t="str">
        <f>VLOOKUP($B54, '[1]HURDAT Query'!$A$1:$F$1030, 3, 0)</f>
        <v>CAMILLE</v>
      </c>
      <c r="D54" s="3">
        <f>VLOOKUP($B54, '[1]HURDAT Query'!$A$1:$F$1030, 4, 0)</f>
        <v>5</v>
      </c>
      <c r="E54" s="3">
        <f>VLOOKUP($B54, '[1]HURDAT Query'!$A$1:$F$1030, 5, 0)</f>
        <v>150</v>
      </c>
      <c r="F54" s="3">
        <f>VLOOKUP($B54, '[1]HURDAT Query'!$A$1:$F$1030, 6, 0)</f>
        <v>900</v>
      </c>
      <c r="G54" s="3">
        <f>_xlfn.IFNA(VLOOKUP(B54, '[1]Landfall Stats'!A:G, 7, 0), "No LF")</f>
        <v>5</v>
      </c>
      <c r="H54" s="3">
        <f>_xlfn.IFNA(VLOOKUP(B54, '[1]Landfall Stats'!A:G, 5, 0), "No LF")</f>
        <v>150</v>
      </c>
      <c r="I54" s="3">
        <f>_xlfn.IFNA(VLOOKUP(B54, '[1]Landfall Stats'!A:G, 6, 0), "No LF")</f>
        <v>900</v>
      </c>
      <c r="J54" s="4" t="s">
        <v>102</v>
      </c>
      <c r="K54" s="3">
        <v>288</v>
      </c>
      <c r="L54" s="3">
        <v>118</v>
      </c>
      <c r="M54" s="3" t="s">
        <v>103</v>
      </c>
      <c r="N54" s="3"/>
      <c r="O54" s="3"/>
      <c r="P54" s="3"/>
      <c r="Q54" s="3"/>
      <c r="R54" s="3"/>
      <c r="S54" s="3"/>
      <c r="T54" s="3">
        <v>161</v>
      </c>
      <c r="U54" s="3" t="s">
        <v>104</v>
      </c>
      <c r="V54" s="3">
        <v>5</v>
      </c>
      <c r="W54" s="3" t="s">
        <v>103</v>
      </c>
      <c r="X54" s="3"/>
      <c r="Y54" s="3"/>
      <c r="Z54" s="3"/>
      <c r="AA54" s="3"/>
      <c r="AB54" s="3"/>
      <c r="AC54" s="3"/>
      <c r="AD54" s="3">
        <v>4</v>
      </c>
      <c r="AE54" s="3" t="s">
        <v>42</v>
      </c>
    </row>
    <row r="55" spans="1:31" ht="12.75" customHeight="1" x14ac:dyDescent="0.2">
      <c r="A55" s="3">
        <v>1969</v>
      </c>
      <c r="B55" s="3" t="s">
        <v>105</v>
      </c>
      <c r="C55" s="3" t="str">
        <f>VLOOKUP($B55, '[1]HURDAT Query'!$A$1:$F$1030, 3, 0)</f>
        <v>EVE</v>
      </c>
      <c r="D55" s="3" t="str">
        <f>VLOOKUP($B55, '[1]HURDAT Query'!$A$1:$F$1030, 4, 0)</f>
        <v>NA</v>
      </c>
      <c r="E55" s="3" t="str">
        <f>VLOOKUP($B55, '[1]HURDAT Query'!$A$1:$F$1030, 5, 0)</f>
        <v>NA</v>
      </c>
      <c r="F55" s="3" t="str">
        <f>VLOOKUP($B55, '[1]HURDAT Query'!$A$1:$F$1030, 6, 0)</f>
        <v>NA</v>
      </c>
      <c r="G55" s="3" t="str">
        <f>_xlfn.IFNA(VLOOKUP(B55, '[1]Landfall Stats'!A:G, 7, 0), "No LF")</f>
        <v>No LF</v>
      </c>
      <c r="H55" s="3" t="str">
        <f>_xlfn.IFNA(VLOOKUP(B55, '[1]Landfall Stats'!A:G, 5, 0), "No LF")</f>
        <v>No LF</v>
      </c>
      <c r="I55" s="3" t="str">
        <f>_xlfn.IFNA(VLOOKUP(B55, '[1]Landfall Stats'!A:G, 6, 0), "No LF")</f>
        <v>No LF</v>
      </c>
      <c r="J55" s="4" t="s">
        <v>106</v>
      </c>
      <c r="K55" s="3">
        <v>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2.75" customHeight="1" x14ac:dyDescent="0.2">
      <c r="A56" s="3">
        <v>1969</v>
      </c>
      <c r="B56" s="3" t="s">
        <v>107</v>
      </c>
      <c r="C56" s="3" t="str">
        <f>VLOOKUP($B56, '[1]HURDAT Query'!$A$1:$F$1030, 3, 0)</f>
        <v>FRANCELIA</v>
      </c>
      <c r="D56" s="3">
        <f>VLOOKUP($B56, '[1]HURDAT Query'!$A$1:$F$1030, 4, 0)</f>
        <v>2</v>
      </c>
      <c r="E56" s="3">
        <f>VLOOKUP($B56, '[1]HURDAT Query'!$A$1:$F$1030, 5, 0)</f>
        <v>85</v>
      </c>
      <c r="F56" s="3">
        <f>VLOOKUP($B56, '[1]HURDAT Query'!$A$1:$F$1030, 6, 0)</f>
        <v>973</v>
      </c>
      <c r="G56" s="3" t="str">
        <f>_xlfn.IFNA(VLOOKUP(B56, '[1]Landfall Stats'!A:G, 7, 0), "No LF")</f>
        <v>No LF</v>
      </c>
      <c r="H56" s="3" t="str">
        <f>_xlfn.IFNA(VLOOKUP(B56, '[1]Landfall Stats'!A:G, 5, 0), "No LF")</f>
        <v>No LF</v>
      </c>
      <c r="I56" s="3" t="str">
        <f>_xlfn.IFNA(VLOOKUP(B56, '[1]Landfall Stats'!A:G, 6, 0), "No LF")</f>
        <v>No LF</v>
      </c>
      <c r="J56" s="4" t="s">
        <v>98</v>
      </c>
      <c r="K56" s="3">
        <v>0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12.75" customHeight="1" x14ac:dyDescent="0.2">
      <c r="A57" s="3">
        <v>1969</v>
      </c>
      <c r="B57" s="3" t="s">
        <v>108</v>
      </c>
      <c r="C57" s="3" t="str">
        <f>VLOOKUP($B57, '[1]HURDAT Query'!$A$1:$F$1030, 3, 0)</f>
        <v>GERDA</v>
      </c>
      <c r="D57" s="3">
        <f>VLOOKUP($B57, '[1]HURDAT Query'!$A$1:$F$1030, 4, 0)</f>
        <v>3</v>
      </c>
      <c r="E57" s="3">
        <f>VLOOKUP($B57, '[1]HURDAT Query'!$A$1:$F$1030, 5, 0)</f>
        <v>105</v>
      </c>
      <c r="F57" s="3">
        <f>VLOOKUP($B57, '[1]HURDAT Query'!$A$1:$F$1030, 6, 0)</f>
        <v>980</v>
      </c>
      <c r="G57" s="3" t="str">
        <f>_xlfn.IFNA(VLOOKUP(B57, '[1]Landfall Stats'!A:G, 7, 0), "No LF")</f>
        <v>No LF</v>
      </c>
      <c r="H57" s="3" t="str">
        <f>_xlfn.IFNA(VLOOKUP(B57, '[1]Landfall Stats'!A:G, 5, 0), "No LF")</f>
        <v>No LF</v>
      </c>
      <c r="I57" s="3" t="str">
        <f>_xlfn.IFNA(VLOOKUP(B57, '[1]Landfall Stats'!A:G, 6, 0), "No LF")</f>
        <v>No LF</v>
      </c>
      <c r="J57" s="4" t="s">
        <v>98</v>
      </c>
      <c r="K57" s="3">
        <v>0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12.75" customHeight="1" x14ac:dyDescent="0.2">
      <c r="A58" s="3">
        <v>1969</v>
      </c>
      <c r="B58" s="3" t="s">
        <v>109</v>
      </c>
      <c r="C58" s="3" t="str">
        <f>VLOOKUP($B58, '[1]HURDAT Query'!$A$1:$F$1030, 3, 0)</f>
        <v>HOLLY</v>
      </c>
      <c r="D58" s="3">
        <f>VLOOKUP($B58, '[1]HURDAT Query'!$A$1:$F$1030, 4, 0)</f>
        <v>1</v>
      </c>
      <c r="E58" s="3">
        <f>VLOOKUP($B58, '[1]HURDAT Query'!$A$1:$F$1030, 5, 0)</f>
        <v>70</v>
      </c>
      <c r="F58" s="3">
        <f>VLOOKUP($B58, '[1]HURDAT Query'!$A$1:$F$1030, 6, 0)</f>
        <v>984</v>
      </c>
      <c r="G58" s="3" t="str">
        <f>_xlfn.IFNA(VLOOKUP(B58, '[1]Landfall Stats'!A:G, 7, 0), "No LF")</f>
        <v>No LF</v>
      </c>
      <c r="H58" s="3" t="str">
        <f>_xlfn.IFNA(VLOOKUP(B58, '[1]Landfall Stats'!A:G, 5, 0), "No LF")</f>
        <v>No LF</v>
      </c>
      <c r="I58" s="3" t="str">
        <f>_xlfn.IFNA(VLOOKUP(B58, '[1]Landfall Stats'!A:G, 6, 0), "No LF")</f>
        <v>No LF</v>
      </c>
      <c r="J58" s="4" t="s">
        <v>98</v>
      </c>
      <c r="K58" s="3">
        <v>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2.75" customHeight="1" x14ac:dyDescent="0.2">
      <c r="A59" s="3">
        <v>1969</v>
      </c>
      <c r="B59" s="3" t="s">
        <v>110</v>
      </c>
      <c r="C59" s="3" t="str">
        <f>VLOOKUP($B59, '[1]HURDAT Query'!$A$1:$F$1030, 3, 0)</f>
        <v>INGA</v>
      </c>
      <c r="D59" s="3">
        <f>VLOOKUP($B59, '[1]HURDAT Query'!$A$1:$F$1030, 4, 0)</f>
        <v>2</v>
      </c>
      <c r="E59" s="3">
        <f>VLOOKUP($B59, '[1]HURDAT Query'!$A$1:$F$1030, 5, 0)</f>
        <v>95</v>
      </c>
      <c r="F59" s="3">
        <f>VLOOKUP($B59, '[1]HURDAT Query'!$A$1:$F$1030, 6, 0)</f>
        <v>964</v>
      </c>
      <c r="G59" s="3" t="str">
        <f>_xlfn.IFNA(VLOOKUP(B59, '[1]Landfall Stats'!A:G, 7, 0), "No LF")</f>
        <v>No LF</v>
      </c>
      <c r="H59" s="3" t="str">
        <f>_xlfn.IFNA(VLOOKUP(B59, '[1]Landfall Stats'!A:G, 5, 0), "No LF")</f>
        <v>No LF</v>
      </c>
      <c r="I59" s="3" t="str">
        <f>_xlfn.IFNA(VLOOKUP(B59, '[1]Landfall Stats'!A:G, 6, 0), "No LF")</f>
        <v>No LF</v>
      </c>
      <c r="J59" s="4" t="s">
        <v>98</v>
      </c>
      <c r="K59" s="3">
        <v>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2.75" customHeight="1" x14ac:dyDescent="0.2">
      <c r="A60" s="3">
        <v>1969</v>
      </c>
      <c r="B60" s="3" t="s">
        <v>111</v>
      </c>
      <c r="C60" s="3" t="str">
        <f>VLOOKUP($B60, '[1]HURDAT Query'!$A$1:$F$1030, 3, 0)</f>
        <v>JENNY</v>
      </c>
      <c r="D60" s="3" t="str">
        <f>VLOOKUP($B60, '[1]HURDAT Query'!$A$1:$F$1030, 4, 0)</f>
        <v>NA</v>
      </c>
      <c r="E60" s="3" t="str">
        <f>VLOOKUP($B60, '[1]HURDAT Query'!$A$1:$F$1030, 5, 0)</f>
        <v>NA</v>
      </c>
      <c r="F60" s="3" t="str">
        <f>VLOOKUP($B60, '[1]HURDAT Query'!$A$1:$F$1030, 6, 0)</f>
        <v>NA</v>
      </c>
      <c r="G60" s="3" t="str">
        <f>_xlfn.IFNA(VLOOKUP(B60, '[1]Landfall Stats'!A:G, 7, 0), "No LF")</f>
        <v>No LF</v>
      </c>
      <c r="H60" s="3" t="str">
        <f>_xlfn.IFNA(VLOOKUP(B60, '[1]Landfall Stats'!A:G, 5, 0), "No LF")</f>
        <v>No LF</v>
      </c>
      <c r="I60" s="3" t="str">
        <f>_xlfn.IFNA(VLOOKUP(B60, '[1]Landfall Stats'!A:G, 6, 0), "No LF")</f>
        <v>No LF</v>
      </c>
      <c r="J60" s="4" t="s">
        <v>98</v>
      </c>
      <c r="K60" s="3">
        <v>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2.75" customHeight="1" x14ac:dyDescent="0.2">
      <c r="A61" s="3">
        <v>1969</v>
      </c>
      <c r="B61" s="3" t="s">
        <v>112</v>
      </c>
      <c r="C61" s="3" t="str">
        <f>VLOOKUP($B61, '[1]HURDAT Query'!$A$1:$F$1030, 3, 0)</f>
        <v>KARA</v>
      </c>
      <c r="D61" s="3">
        <f>VLOOKUP($B61, '[1]HURDAT Query'!$A$1:$F$1030, 4, 0)</f>
        <v>1</v>
      </c>
      <c r="E61" s="3">
        <f>VLOOKUP($B61, '[1]HURDAT Query'!$A$1:$F$1030, 5, 0)</f>
        <v>80</v>
      </c>
      <c r="F61" s="3">
        <f>VLOOKUP($B61, '[1]HURDAT Query'!$A$1:$F$1030, 6, 0)</f>
        <v>978</v>
      </c>
      <c r="G61" s="3" t="str">
        <f>_xlfn.IFNA(VLOOKUP(B61, '[1]Landfall Stats'!A:G, 7, 0), "No LF")</f>
        <v>No LF</v>
      </c>
      <c r="H61" s="3" t="str">
        <f>_xlfn.IFNA(VLOOKUP(B61, '[1]Landfall Stats'!A:G, 5, 0), "No LF")</f>
        <v>No LF</v>
      </c>
      <c r="I61" s="3" t="str">
        <f>_xlfn.IFNA(VLOOKUP(B61, '[1]Landfall Stats'!A:G, 6, 0), "No LF")</f>
        <v>No LF</v>
      </c>
      <c r="J61" s="4" t="s">
        <v>98</v>
      </c>
      <c r="K61" s="3">
        <v>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2.75" customHeight="1" x14ac:dyDescent="0.2">
      <c r="A62" s="3">
        <v>1969</v>
      </c>
      <c r="B62" s="3" t="s">
        <v>113</v>
      </c>
      <c r="C62" s="3" t="str">
        <f>VLOOKUP($B62, '[1]HURDAT Query'!$A$1:$F$1030, 3, 0)</f>
        <v>LAURIE</v>
      </c>
      <c r="D62" s="3">
        <f>VLOOKUP($B62, '[1]HURDAT Query'!$A$1:$F$1030, 4, 0)</f>
        <v>1</v>
      </c>
      <c r="E62" s="3">
        <f>VLOOKUP($B62, '[1]HURDAT Query'!$A$1:$F$1030, 5, 0)</f>
        <v>80</v>
      </c>
      <c r="F62" s="3">
        <f>VLOOKUP($B62, '[1]HURDAT Query'!$A$1:$F$1030, 6, 0)</f>
        <v>973</v>
      </c>
      <c r="G62" s="3" t="str">
        <f>_xlfn.IFNA(VLOOKUP(B62, '[1]Landfall Stats'!A:G, 7, 0), "No LF")</f>
        <v>No LF</v>
      </c>
      <c r="H62" s="3" t="str">
        <f>_xlfn.IFNA(VLOOKUP(B62, '[1]Landfall Stats'!A:G, 5, 0), "No LF")</f>
        <v>No LF</v>
      </c>
      <c r="I62" s="3" t="str">
        <f>_xlfn.IFNA(VLOOKUP(B62, '[1]Landfall Stats'!A:G, 6, 0), "No LF")</f>
        <v>No LF</v>
      </c>
      <c r="J62" s="4" t="s">
        <v>98</v>
      </c>
      <c r="K62" s="3">
        <v>0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2.75" customHeight="1" x14ac:dyDescent="0.2">
      <c r="A63" s="3">
        <v>1969</v>
      </c>
      <c r="B63" s="3" t="s">
        <v>114</v>
      </c>
      <c r="C63" s="3" t="str">
        <f>VLOOKUP($B63, '[1]HURDAT Query'!$A$1:$F$1030, 3, 0)</f>
        <v>MARTHA</v>
      </c>
      <c r="D63" s="3">
        <f>VLOOKUP($B63, '[1]HURDAT Query'!$A$1:$F$1030, 4, 0)</f>
        <v>1</v>
      </c>
      <c r="E63" s="3">
        <f>VLOOKUP($B63, '[1]HURDAT Query'!$A$1:$F$1030, 5, 0)</f>
        <v>80</v>
      </c>
      <c r="F63" s="3">
        <f>VLOOKUP($B63, '[1]HURDAT Query'!$A$1:$F$1030, 6, 0)</f>
        <v>979</v>
      </c>
      <c r="G63" s="3" t="str">
        <f>_xlfn.IFNA(VLOOKUP(B63, '[1]Landfall Stats'!A:G, 7, 0), "No LF")</f>
        <v>No LF</v>
      </c>
      <c r="H63" s="3" t="str">
        <f>_xlfn.IFNA(VLOOKUP(B63, '[1]Landfall Stats'!A:G, 5, 0), "No LF")</f>
        <v>No LF</v>
      </c>
      <c r="I63" s="3" t="str">
        <f>_xlfn.IFNA(VLOOKUP(B63, '[1]Landfall Stats'!A:G, 6, 0), "No LF")</f>
        <v>No LF</v>
      </c>
      <c r="J63" s="4" t="s">
        <v>106</v>
      </c>
      <c r="K63" s="3">
        <v>0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2.75" customHeight="1" x14ac:dyDescent="0.2">
      <c r="A64" s="3">
        <v>1970</v>
      </c>
      <c r="B64" s="3" t="s">
        <v>115</v>
      </c>
      <c r="C64" s="3" t="str">
        <f>VLOOKUP($B64, '[1]HURDAT Query'!$A$1:$F$1030, 3, 0)</f>
        <v>ALMA</v>
      </c>
      <c r="D64" s="3">
        <f>VLOOKUP($B64, '[1]HURDAT Query'!$A$1:$F$1030, 4, 0)</f>
        <v>1</v>
      </c>
      <c r="E64" s="3">
        <f>VLOOKUP($B64, '[1]HURDAT Query'!$A$1:$F$1030, 5, 0)</f>
        <v>65</v>
      </c>
      <c r="F64" s="3">
        <f>VLOOKUP($B64, '[1]HURDAT Query'!$A$1:$F$1030, 6, 0)</f>
        <v>993</v>
      </c>
      <c r="G64" s="3" t="str">
        <f>_xlfn.IFNA(VLOOKUP(B64, '[1]Landfall Stats'!A:G, 7, 0), "No LF")</f>
        <v>NA</v>
      </c>
      <c r="H64" s="3">
        <f>_xlfn.IFNA(VLOOKUP(B64, '[1]Landfall Stats'!A:G, 5, 0), "No LF")</f>
        <v>30</v>
      </c>
      <c r="I64" s="3" t="str">
        <f>_xlfn.IFNA(VLOOKUP(B64, '[1]Landfall Stats'!A:G, 6, 0), "No LF")</f>
        <v>NA</v>
      </c>
      <c r="J64" s="4" t="s">
        <v>116</v>
      </c>
      <c r="K64" s="3">
        <v>0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2.75" customHeight="1" x14ac:dyDescent="0.2">
      <c r="A65" s="3">
        <v>1970</v>
      </c>
      <c r="B65" s="3" t="s">
        <v>117</v>
      </c>
      <c r="C65" s="3" t="str">
        <f>VLOOKUP($B65, '[1]HURDAT Query'!$A$1:$F$1030, 3, 0)</f>
        <v>BECKY</v>
      </c>
      <c r="D65" s="3" t="str">
        <f>VLOOKUP($B65, '[1]HURDAT Query'!$A$1:$F$1030, 4, 0)</f>
        <v>NA</v>
      </c>
      <c r="E65" s="3" t="str">
        <f>VLOOKUP($B65, '[1]HURDAT Query'!$A$1:$F$1030, 5, 0)</f>
        <v>NA</v>
      </c>
      <c r="F65" s="3" t="str">
        <f>VLOOKUP($B65, '[1]HURDAT Query'!$A$1:$F$1030, 6, 0)</f>
        <v>NA</v>
      </c>
      <c r="G65" s="3" t="str">
        <f>_xlfn.IFNA(VLOOKUP(B65, '[1]Landfall Stats'!A:G, 7, 0), "No LF")</f>
        <v>No LF</v>
      </c>
      <c r="H65" s="3" t="str">
        <f>_xlfn.IFNA(VLOOKUP(B65, '[1]Landfall Stats'!A:G, 5, 0), "No LF")</f>
        <v>No LF</v>
      </c>
      <c r="I65" s="3" t="str">
        <f>_xlfn.IFNA(VLOOKUP(B65, '[1]Landfall Stats'!A:G, 6, 0), "No LF")</f>
        <v>No LF</v>
      </c>
      <c r="J65" s="4" t="s">
        <v>118</v>
      </c>
      <c r="K65" s="3">
        <v>0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2.75" customHeight="1" x14ac:dyDescent="0.2">
      <c r="A66" s="3">
        <v>1970</v>
      </c>
      <c r="B66" s="3" t="s">
        <v>119</v>
      </c>
      <c r="C66" s="3" t="str">
        <f>VLOOKUP($B66, '[1]HURDAT Query'!$A$1:$F$1030, 3, 0)</f>
        <v>CELIA</v>
      </c>
      <c r="D66" s="3">
        <f>VLOOKUP($B66, '[1]HURDAT Query'!$A$1:$F$1030, 4, 0)</f>
        <v>4</v>
      </c>
      <c r="E66" s="3">
        <f>VLOOKUP($B66, '[1]HURDAT Query'!$A$1:$F$1030, 5, 0)</f>
        <v>120</v>
      </c>
      <c r="F66" s="3">
        <f>VLOOKUP($B66, '[1]HURDAT Query'!$A$1:$F$1030, 6, 0)</f>
        <v>944</v>
      </c>
      <c r="G66" s="3">
        <f>_xlfn.IFNA(VLOOKUP(B66, '[1]Landfall Stats'!A:G, 7, 0), "No LF")</f>
        <v>4</v>
      </c>
      <c r="H66" s="3">
        <f>_xlfn.IFNA(VLOOKUP(B66, '[1]Landfall Stats'!A:G, 5, 0), "No LF")</f>
        <v>120</v>
      </c>
      <c r="I66" s="3">
        <f>_xlfn.IFNA(VLOOKUP(B66, '[1]Landfall Stats'!A:G, 6, 0), "No LF")</f>
        <v>944</v>
      </c>
      <c r="J66" s="8" t="s">
        <v>120</v>
      </c>
      <c r="K66" s="3">
        <v>25</v>
      </c>
      <c r="L66" s="3">
        <v>1</v>
      </c>
      <c r="M66" s="3" t="s">
        <v>42</v>
      </c>
      <c r="N66" s="3">
        <v>14</v>
      </c>
      <c r="O66" s="3" t="s">
        <v>42</v>
      </c>
      <c r="P66" s="3">
        <v>3</v>
      </c>
      <c r="Q66" s="3" t="s">
        <v>42</v>
      </c>
      <c r="R66" s="3"/>
      <c r="S66" s="3"/>
      <c r="T66" s="3"/>
      <c r="U66" s="3"/>
      <c r="V66" s="3">
        <v>6</v>
      </c>
      <c r="W66" s="3" t="s">
        <v>42</v>
      </c>
      <c r="X66" s="3"/>
      <c r="Y66" s="3"/>
      <c r="Z66" s="3">
        <v>1</v>
      </c>
      <c r="AA66" s="3" t="s">
        <v>42</v>
      </c>
      <c r="AB66" s="3"/>
      <c r="AC66" s="3"/>
      <c r="AD66" s="3"/>
      <c r="AE66" s="3"/>
    </row>
    <row r="67" spans="1:31" ht="12.75" customHeight="1" x14ac:dyDescent="0.2">
      <c r="A67" s="3">
        <v>1970</v>
      </c>
      <c r="B67" s="3" t="s">
        <v>121</v>
      </c>
      <c r="C67" s="3" t="str">
        <f>VLOOKUP($B67, '[1]HURDAT Query'!$A$1:$F$1030, 3, 0)</f>
        <v>DOROTHY</v>
      </c>
      <c r="D67" s="3" t="str">
        <f>VLOOKUP($B67, '[1]HURDAT Query'!$A$1:$F$1030, 4, 0)</f>
        <v>NA</v>
      </c>
      <c r="E67" s="3" t="str">
        <f>VLOOKUP($B67, '[1]HURDAT Query'!$A$1:$F$1030, 5, 0)</f>
        <v>NA</v>
      </c>
      <c r="F67" s="3" t="str">
        <f>VLOOKUP($B67, '[1]HURDAT Query'!$A$1:$F$1030, 6, 0)</f>
        <v>NA</v>
      </c>
      <c r="G67" s="3" t="str">
        <f>_xlfn.IFNA(VLOOKUP(B67, '[1]Landfall Stats'!A:G, 7, 0), "No LF")</f>
        <v>No LF</v>
      </c>
      <c r="H67" s="3" t="str">
        <f>_xlfn.IFNA(VLOOKUP(B67, '[1]Landfall Stats'!A:G, 5, 0), "No LF")</f>
        <v>No LF</v>
      </c>
      <c r="I67" s="3" t="str">
        <f>_xlfn.IFNA(VLOOKUP(B67, '[1]Landfall Stats'!A:G, 6, 0), "No LF")</f>
        <v>No LF</v>
      </c>
      <c r="J67" s="4" t="s">
        <v>116</v>
      </c>
      <c r="K67" s="3">
        <v>0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2.75" customHeight="1" x14ac:dyDescent="0.2">
      <c r="A68" s="3">
        <v>1970</v>
      </c>
      <c r="B68" s="3" t="s">
        <v>122</v>
      </c>
      <c r="C68" s="3" t="str">
        <f>VLOOKUP($B68, '[1]HURDAT Query'!$A$1:$F$1030, 3, 0)</f>
        <v>ELLA</v>
      </c>
      <c r="D68" s="3">
        <f>VLOOKUP($B68, '[1]HURDAT Query'!$A$1:$F$1030, 4, 0)</f>
        <v>3</v>
      </c>
      <c r="E68" s="3">
        <f>VLOOKUP($B68, '[1]HURDAT Query'!$A$1:$F$1030, 5, 0)</f>
        <v>110</v>
      </c>
      <c r="F68" s="3">
        <f>VLOOKUP($B68, '[1]HURDAT Query'!$A$1:$F$1030, 6, 0)</f>
        <v>962</v>
      </c>
      <c r="G68" s="3" t="str">
        <f>_xlfn.IFNA(VLOOKUP(B68, '[1]Landfall Stats'!A:G, 7, 0), "No LF")</f>
        <v>No LF</v>
      </c>
      <c r="H68" s="3" t="str">
        <f>_xlfn.IFNA(VLOOKUP(B68, '[1]Landfall Stats'!A:G, 5, 0), "No LF")</f>
        <v>No LF</v>
      </c>
      <c r="I68" s="3" t="str">
        <f>_xlfn.IFNA(VLOOKUP(B68, '[1]Landfall Stats'!A:G, 6, 0), "No LF")</f>
        <v>No LF</v>
      </c>
      <c r="J68" s="4" t="s">
        <v>118</v>
      </c>
      <c r="K68" s="3">
        <v>0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2.75" customHeight="1" x14ac:dyDescent="0.2">
      <c r="A69" s="3">
        <v>1970</v>
      </c>
      <c r="B69" s="3" t="s">
        <v>123</v>
      </c>
      <c r="C69" s="3" t="str">
        <f>VLOOKUP($B69, '[1]HURDAT Query'!$A$1:$F$1030, 3, 0)</f>
        <v>FELICE</v>
      </c>
      <c r="D69" s="3" t="str">
        <f>VLOOKUP($B69, '[1]HURDAT Query'!$A$1:$F$1030, 4, 0)</f>
        <v>NA</v>
      </c>
      <c r="E69" s="3" t="str">
        <f>VLOOKUP($B69, '[1]HURDAT Query'!$A$1:$F$1030, 5, 0)</f>
        <v>NA</v>
      </c>
      <c r="F69" s="3" t="str">
        <f>VLOOKUP($B69, '[1]HURDAT Query'!$A$1:$F$1030, 6, 0)</f>
        <v>NA</v>
      </c>
      <c r="G69" s="3" t="str">
        <f>_xlfn.IFNA(VLOOKUP(B69, '[1]Landfall Stats'!A:G, 7, 0), "No LF")</f>
        <v>No LF</v>
      </c>
      <c r="H69" s="3" t="str">
        <f>_xlfn.IFNA(VLOOKUP(B69, '[1]Landfall Stats'!A:G, 5, 0), "No LF")</f>
        <v>No LF</v>
      </c>
      <c r="I69" s="3" t="str">
        <f>_xlfn.IFNA(VLOOKUP(B69, '[1]Landfall Stats'!A:G, 6, 0), "No LF")</f>
        <v>No LF</v>
      </c>
      <c r="J69" s="4" t="s">
        <v>118</v>
      </c>
      <c r="K69" s="3">
        <v>0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2.75" customHeight="1" x14ac:dyDescent="0.2">
      <c r="A70" s="3">
        <v>1970</v>
      </c>
      <c r="B70" s="3" t="s">
        <v>124</v>
      </c>
      <c r="C70" s="3" t="str">
        <f>VLOOKUP($B70, '[1]HURDAT Query'!$A$1:$F$1030, 3, 0)</f>
        <v>GRETA</v>
      </c>
      <c r="D70" s="3" t="str">
        <f>VLOOKUP($B70, '[1]HURDAT Query'!$A$1:$F$1030, 4, 0)</f>
        <v>NA</v>
      </c>
      <c r="E70" s="3" t="str">
        <f>VLOOKUP($B70, '[1]HURDAT Query'!$A$1:$F$1030, 5, 0)</f>
        <v>NA</v>
      </c>
      <c r="F70" s="3" t="str">
        <f>VLOOKUP($B70, '[1]HURDAT Query'!$A$1:$F$1030, 6, 0)</f>
        <v>NA</v>
      </c>
      <c r="G70" s="3" t="str">
        <f>_xlfn.IFNA(VLOOKUP(B70, '[1]Landfall Stats'!A:G, 7, 0), "No LF")</f>
        <v>NA</v>
      </c>
      <c r="H70" s="3">
        <f>_xlfn.IFNA(VLOOKUP(B70, '[1]Landfall Stats'!A:G, 5, 0), "No LF")</f>
        <v>35</v>
      </c>
      <c r="I70" s="3">
        <f>_xlfn.IFNA(VLOOKUP(B70, '[1]Landfall Stats'!A:G, 6, 0), "No LF")</f>
        <v>1007</v>
      </c>
      <c r="J70" s="4" t="s">
        <v>118</v>
      </c>
      <c r="K70" s="3">
        <v>0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2.75" customHeight="1" x14ac:dyDescent="0.2">
      <c r="A71" s="3">
        <v>1971</v>
      </c>
      <c r="B71" s="3" t="s">
        <v>125</v>
      </c>
      <c r="C71" s="3" t="str">
        <f>VLOOKUP($B71, '[1]HURDAT Query'!$A$1:$F$1030, 3, 0)</f>
        <v>ARLENE</v>
      </c>
      <c r="D71" s="3" t="str">
        <f>VLOOKUP($B71, '[1]HURDAT Query'!$A$1:$F$1030, 4, 0)</f>
        <v>NA</v>
      </c>
      <c r="E71" s="3" t="str">
        <f>VLOOKUP($B71, '[1]HURDAT Query'!$A$1:$F$1030, 5, 0)</f>
        <v>NA</v>
      </c>
      <c r="F71" s="3" t="str">
        <f>VLOOKUP($B71, '[1]HURDAT Query'!$A$1:$F$1030, 6, 0)</f>
        <v>NA</v>
      </c>
      <c r="G71" s="3" t="str">
        <f>_xlfn.IFNA(VLOOKUP(B71, '[1]Landfall Stats'!A:G, 7, 0), "No LF")</f>
        <v>No LF</v>
      </c>
      <c r="H71" s="3" t="str">
        <f>_xlfn.IFNA(VLOOKUP(B71, '[1]Landfall Stats'!A:G, 5, 0), "No LF")</f>
        <v>No LF</v>
      </c>
      <c r="I71" s="3" t="str">
        <f>_xlfn.IFNA(VLOOKUP(B71, '[1]Landfall Stats'!A:G, 6, 0), "No LF")</f>
        <v>No LF</v>
      </c>
      <c r="J71" s="4" t="s">
        <v>126</v>
      </c>
      <c r="K71" s="3">
        <v>0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2.75" customHeight="1" x14ac:dyDescent="0.2">
      <c r="A72" s="3">
        <v>1971</v>
      </c>
      <c r="B72" s="3" t="s">
        <v>127</v>
      </c>
      <c r="C72" s="3" t="str">
        <f>VLOOKUP($B72, '[1]HURDAT Query'!$A$1:$F$1030, 3, 0)</f>
        <v>BETH</v>
      </c>
      <c r="D72" s="3">
        <f>VLOOKUP($B72, '[1]HURDAT Query'!$A$1:$F$1030, 4, 0)</f>
        <v>1</v>
      </c>
      <c r="E72" s="3">
        <f>VLOOKUP($B72, '[1]HURDAT Query'!$A$1:$F$1030, 5, 0)</f>
        <v>75</v>
      </c>
      <c r="F72" s="3">
        <f>VLOOKUP($B72, '[1]HURDAT Query'!$A$1:$F$1030, 6, 0)</f>
        <v>977</v>
      </c>
      <c r="G72" s="3" t="str">
        <f>_xlfn.IFNA(VLOOKUP(B72, '[1]Landfall Stats'!A:G, 7, 0), "No LF")</f>
        <v>No LF</v>
      </c>
      <c r="H72" s="3" t="str">
        <f>_xlfn.IFNA(VLOOKUP(B72, '[1]Landfall Stats'!A:G, 5, 0), "No LF")</f>
        <v>No LF</v>
      </c>
      <c r="I72" s="3" t="str">
        <f>_xlfn.IFNA(VLOOKUP(B72, '[1]Landfall Stats'!A:G, 6, 0), "No LF")</f>
        <v>No LF</v>
      </c>
      <c r="J72" s="4" t="s">
        <v>126</v>
      </c>
      <c r="K72" s="3">
        <v>0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12.75" customHeight="1" x14ac:dyDescent="0.2">
      <c r="A73" s="3">
        <v>1971</v>
      </c>
      <c r="B73" s="3" t="s">
        <v>128</v>
      </c>
      <c r="C73" s="3" t="str">
        <f>VLOOKUP($B73, '[1]HURDAT Query'!$A$1:$F$1030, 3, 0)</f>
        <v>CHLOE</v>
      </c>
      <c r="D73" s="3" t="str">
        <f>VLOOKUP($B73, '[1]HURDAT Query'!$A$1:$F$1030, 4, 0)</f>
        <v>NA</v>
      </c>
      <c r="E73" s="3" t="str">
        <f>VLOOKUP($B73, '[1]HURDAT Query'!$A$1:$F$1030, 5, 0)</f>
        <v>NA</v>
      </c>
      <c r="F73" s="3" t="str">
        <f>VLOOKUP($B73, '[1]HURDAT Query'!$A$1:$F$1030, 6, 0)</f>
        <v>NA</v>
      </c>
      <c r="G73" s="3" t="str">
        <f>_xlfn.IFNA(VLOOKUP(B73, '[1]Landfall Stats'!A:G, 7, 0), "No LF")</f>
        <v>No LF</v>
      </c>
      <c r="H73" s="3" t="str">
        <f>_xlfn.IFNA(VLOOKUP(B73, '[1]Landfall Stats'!A:G, 5, 0), "No LF")</f>
        <v>No LF</v>
      </c>
      <c r="I73" s="3" t="str">
        <f>_xlfn.IFNA(VLOOKUP(B73, '[1]Landfall Stats'!A:G, 6, 0), "No LF")</f>
        <v>No LF</v>
      </c>
      <c r="J73" s="4" t="s">
        <v>126</v>
      </c>
      <c r="K73" s="3">
        <v>0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2.75" customHeight="1" x14ac:dyDescent="0.2">
      <c r="A74" s="3">
        <v>1971</v>
      </c>
      <c r="B74" s="3" t="s">
        <v>129</v>
      </c>
      <c r="C74" s="3" t="str">
        <f>VLOOKUP($B74, '[1]HURDAT Query'!$A$1:$F$1030, 3, 0)</f>
        <v>DORIA</v>
      </c>
      <c r="D74" s="3" t="str">
        <f>VLOOKUP($B74, '[1]HURDAT Query'!$A$1:$F$1030, 4, 0)</f>
        <v>NA</v>
      </c>
      <c r="E74" s="3" t="str">
        <f>VLOOKUP($B74, '[1]HURDAT Query'!$A$1:$F$1030, 5, 0)</f>
        <v>NA</v>
      </c>
      <c r="F74" s="3" t="str">
        <f>VLOOKUP($B74, '[1]HURDAT Query'!$A$1:$F$1030, 6, 0)</f>
        <v>NA</v>
      </c>
      <c r="G74" s="3" t="str">
        <f>_xlfn.IFNA(VLOOKUP(B74, '[1]Landfall Stats'!A:G, 7, 0), "No LF")</f>
        <v>NA</v>
      </c>
      <c r="H74" s="3">
        <f>_xlfn.IFNA(VLOOKUP(B74, '[1]Landfall Stats'!A:G, 5, 0), "No LF")</f>
        <v>50</v>
      </c>
      <c r="I74" s="3">
        <f>_xlfn.IFNA(VLOOKUP(B74, '[1]Landfall Stats'!A:G, 6, 0), "No LF")</f>
        <v>998</v>
      </c>
      <c r="J74" s="4" t="s">
        <v>126</v>
      </c>
      <c r="K74" s="3">
        <v>6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>
        <v>6</v>
      </c>
      <c r="AE74" s="3" t="s">
        <v>42</v>
      </c>
    </row>
    <row r="75" spans="1:31" ht="12.75" customHeight="1" x14ac:dyDescent="0.2">
      <c r="A75" s="3">
        <v>1971</v>
      </c>
      <c r="B75" s="3" t="s">
        <v>130</v>
      </c>
      <c r="C75" s="3" t="str">
        <f>VLOOKUP($B75, '[1]HURDAT Query'!$A$1:$F$1030, 3, 0)</f>
        <v>FERN</v>
      </c>
      <c r="D75" s="3">
        <f>VLOOKUP($B75, '[1]HURDAT Query'!$A$1:$F$1030, 4, 0)</f>
        <v>1</v>
      </c>
      <c r="E75" s="3">
        <f>VLOOKUP($B75, '[1]HURDAT Query'!$A$1:$F$1030, 5, 0)</f>
        <v>80</v>
      </c>
      <c r="F75" s="3">
        <f>VLOOKUP($B75, '[1]HURDAT Query'!$A$1:$F$1030, 6, 0)</f>
        <v>987</v>
      </c>
      <c r="G75" s="3" t="str">
        <f>_xlfn.IFNA(VLOOKUP(B75, '[1]Landfall Stats'!A:G, 7, 0), "No LF")</f>
        <v>NA</v>
      </c>
      <c r="H75" s="3">
        <f>_xlfn.IFNA(VLOOKUP(B75, '[1]Landfall Stats'!A:G, 5, 0), "No LF")</f>
        <v>60</v>
      </c>
      <c r="I75" s="3">
        <f>_xlfn.IFNA(VLOOKUP(B75, '[1]Landfall Stats'!A:G, 6, 0), "No LF")</f>
        <v>979</v>
      </c>
      <c r="J75" s="4" t="s">
        <v>131</v>
      </c>
      <c r="K75" s="3">
        <v>2</v>
      </c>
      <c r="L75" s="3"/>
      <c r="M75" s="3"/>
      <c r="N75" s="3"/>
      <c r="O75" s="3"/>
      <c r="P75" s="3"/>
      <c r="Q75" s="3"/>
      <c r="R75" s="3"/>
      <c r="S75" s="3"/>
      <c r="T75" s="3">
        <v>2</v>
      </c>
      <c r="U75" s="3" t="s">
        <v>42</v>
      </c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2.75" customHeight="1" x14ac:dyDescent="0.2">
      <c r="A76" s="3">
        <v>1971</v>
      </c>
      <c r="B76" s="3" t="s">
        <v>132</v>
      </c>
      <c r="C76" s="3" t="str">
        <f>VLOOKUP($B76, '[1]HURDAT Query'!$A$1:$F$1030, 3, 0)</f>
        <v>EDITH</v>
      </c>
      <c r="D76" s="3">
        <f>VLOOKUP($B76, '[1]HURDAT Query'!$A$1:$F$1030, 4, 0)</f>
        <v>5</v>
      </c>
      <c r="E76" s="3">
        <f>VLOOKUP($B76, '[1]HURDAT Query'!$A$1:$F$1030, 5, 0)</f>
        <v>140</v>
      </c>
      <c r="F76" s="3">
        <f>VLOOKUP($B76, '[1]HURDAT Query'!$A$1:$F$1030, 6, 0)</f>
        <v>943</v>
      </c>
      <c r="G76" s="3">
        <f>_xlfn.IFNA(VLOOKUP(B76, '[1]Landfall Stats'!A:G, 7, 0), "No LF")</f>
        <v>2</v>
      </c>
      <c r="H76" s="3">
        <f>_xlfn.IFNA(VLOOKUP(B76, '[1]Landfall Stats'!A:G, 5, 0), "No LF")</f>
        <v>85</v>
      </c>
      <c r="I76" s="3">
        <f>_xlfn.IFNA(VLOOKUP(B76, '[1]Landfall Stats'!A:G, 6, 0), "No LF")</f>
        <v>978</v>
      </c>
      <c r="J76" s="4" t="s">
        <v>131</v>
      </c>
      <c r="K76" s="3">
        <v>0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2.75" customHeight="1" x14ac:dyDescent="0.2">
      <c r="A77" s="3">
        <v>1971</v>
      </c>
      <c r="B77" s="3" t="s">
        <v>133</v>
      </c>
      <c r="C77" s="3" t="str">
        <f>VLOOKUP($B77, '[1]HURDAT Query'!$A$1:$F$1030, 3, 0)</f>
        <v>GINGER</v>
      </c>
      <c r="D77" s="3">
        <f>VLOOKUP($B77, '[1]HURDAT Query'!$A$1:$F$1030, 4, 0)</f>
        <v>2</v>
      </c>
      <c r="E77" s="3">
        <f>VLOOKUP($B77, '[1]HURDAT Query'!$A$1:$F$1030, 5, 0)</f>
        <v>95</v>
      </c>
      <c r="F77" s="3">
        <f>VLOOKUP($B77, '[1]HURDAT Query'!$A$1:$F$1030, 6, 0)</f>
        <v>959</v>
      </c>
      <c r="G77" s="3">
        <f>_xlfn.IFNA(VLOOKUP(B77, '[1]Landfall Stats'!A:G, 7, 0), "No LF")</f>
        <v>1</v>
      </c>
      <c r="H77" s="3">
        <f>_xlfn.IFNA(VLOOKUP(B77, '[1]Landfall Stats'!A:G, 5, 0), "No LF")</f>
        <v>65</v>
      </c>
      <c r="I77" s="3">
        <f>_xlfn.IFNA(VLOOKUP(B77, '[1]Landfall Stats'!A:G, 6, 0), "No LF")</f>
        <v>984</v>
      </c>
      <c r="J77" s="4" t="s">
        <v>131</v>
      </c>
      <c r="K77" s="3">
        <v>0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2.75" customHeight="1" x14ac:dyDescent="0.2">
      <c r="A78" s="3">
        <v>1971</v>
      </c>
      <c r="B78" s="3" t="s">
        <v>134</v>
      </c>
      <c r="C78" s="3" t="str">
        <f>VLOOKUP($B78, '[1]HURDAT Query'!$A$1:$F$1030, 3, 0)</f>
        <v>HEIDI</v>
      </c>
      <c r="D78" s="3" t="str">
        <f>VLOOKUP($B78, '[1]HURDAT Query'!$A$1:$F$1030, 4, 0)</f>
        <v>NA</v>
      </c>
      <c r="E78" s="3" t="str">
        <f>VLOOKUP($B78, '[1]HURDAT Query'!$A$1:$F$1030, 5, 0)</f>
        <v>NA</v>
      </c>
      <c r="F78" s="3" t="str">
        <f>VLOOKUP($B78, '[1]HURDAT Query'!$A$1:$F$1030, 6, 0)</f>
        <v>NA</v>
      </c>
      <c r="G78" s="3" t="str">
        <f>_xlfn.IFNA(VLOOKUP(B78, '[1]Landfall Stats'!A:G, 7, 0), "No LF")</f>
        <v>NA</v>
      </c>
      <c r="H78" s="3">
        <f>_xlfn.IFNA(VLOOKUP(B78, '[1]Landfall Stats'!A:G, 5, 0), "No LF")</f>
        <v>40</v>
      </c>
      <c r="I78" s="3">
        <f>_xlfn.IFNA(VLOOKUP(B78, '[1]Landfall Stats'!A:G, 6, 0), "No LF")</f>
        <v>998</v>
      </c>
      <c r="J78" s="4" t="s">
        <v>126</v>
      </c>
      <c r="K78" s="3">
        <v>0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2.75" customHeight="1" x14ac:dyDescent="0.2">
      <c r="A79" s="3">
        <v>1971</v>
      </c>
      <c r="B79" s="3" t="s">
        <v>135</v>
      </c>
      <c r="C79" s="3" t="str">
        <f>VLOOKUP($B79, '[1]HURDAT Query'!$A$1:$F$1030, 3, 0)</f>
        <v>IRENE</v>
      </c>
      <c r="D79" s="3">
        <f>VLOOKUP($B79, '[1]HURDAT Query'!$A$1:$F$1030, 4, 0)</f>
        <v>1</v>
      </c>
      <c r="E79" s="3">
        <f>VLOOKUP($B79, '[1]HURDAT Query'!$A$1:$F$1030, 5, 0)</f>
        <v>70</v>
      </c>
      <c r="F79" s="3">
        <f>VLOOKUP($B79, '[1]HURDAT Query'!$A$1:$F$1030, 6, 0)</f>
        <v>989</v>
      </c>
      <c r="G79" s="3" t="str">
        <f>_xlfn.IFNA(VLOOKUP(B79, '[1]Landfall Stats'!A:G, 7, 0), "No LF")</f>
        <v>No LF</v>
      </c>
      <c r="H79" s="3" t="str">
        <f>_xlfn.IFNA(VLOOKUP(B79, '[1]Landfall Stats'!A:G, 5, 0), "No LF")</f>
        <v>No LF</v>
      </c>
      <c r="I79" s="3" t="str">
        <f>_xlfn.IFNA(VLOOKUP(B79, '[1]Landfall Stats'!A:G, 6, 0), "No LF")</f>
        <v>No LF</v>
      </c>
      <c r="J79" s="4" t="s">
        <v>126</v>
      </c>
      <c r="K79" s="3">
        <v>0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2.75" customHeight="1" x14ac:dyDescent="0.2">
      <c r="A80" s="3">
        <v>1971</v>
      </c>
      <c r="B80" s="3" t="s">
        <v>136</v>
      </c>
      <c r="C80" s="3" t="str">
        <f>VLOOKUP($B80, '[1]HURDAT Query'!$A$1:$F$1030, 3, 0)</f>
        <v>JANICE</v>
      </c>
      <c r="D80" s="3" t="str">
        <f>VLOOKUP($B80, '[1]HURDAT Query'!$A$1:$F$1030, 4, 0)</f>
        <v>NA</v>
      </c>
      <c r="E80" s="3" t="str">
        <f>VLOOKUP($B80, '[1]HURDAT Query'!$A$1:$F$1030, 5, 0)</f>
        <v>NA</v>
      </c>
      <c r="F80" s="3" t="str">
        <f>VLOOKUP($B80, '[1]HURDAT Query'!$A$1:$F$1030, 6, 0)</f>
        <v>NA</v>
      </c>
      <c r="G80" s="3" t="str">
        <f>_xlfn.IFNA(VLOOKUP(B80, '[1]Landfall Stats'!A:G, 7, 0), "No LF")</f>
        <v>No LF</v>
      </c>
      <c r="H80" s="3" t="str">
        <f>_xlfn.IFNA(VLOOKUP(B80, '[1]Landfall Stats'!A:G, 5, 0), "No LF")</f>
        <v>No LF</v>
      </c>
      <c r="I80" s="3" t="str">
        <f>_xlfn.IFNA(VLOOKUP(B80, '[1]Landfall Stats'!A:G, 6, 0), "No LF")</f>
        <v>No LF</v>
      </c>
      <c r="J80" s="4" t="s">
        <v>126</v>
      </c>
      <c r="K80" s="3">
        <v>0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ht="12.75" customHeight="1" x14ac:dyDescent="0.2">
      <c r="A81" s="3">
        <v>1971</v>
      </c>
      <c r="B81" s="3" t="s">
        <v>137</v>
      </c>
      <c r="C81" s="3" t="str">
        <f>VLOOKUP($B81, '[1]HURDAT Query'!$A$1:$F$1030, 3, 0)</f>
        <v>KRISTY</v>
      </c>
      <c r="D81" s="3" t="str">
        <f>VLOOKUP($B81, '[1]HURDAT Query'!$A$1:$F$1030, 4, 0)</f>
        <v>NA</v>
      </c>
      <c r="E81" s="3" t="str">
        <f>VLOOKUP($B81, '[1]HURDAT Query'!$A$1:$F$1030, 5, 0)</f>
        <v>NA</v>
      </c>
      <c r="F81" s="3" t="str">
        <f>VLOOKUP($B81, '[1]HURDAT Query'!$A$1:$F$1030, 6, 0)</f>
        <v>NA</v>
      </c>
      <c r="G81" s="3" t="str">
        <f>_xlfn.IFNA(VLOOKUP(B81, '[1]Landfall Stats'!A:G, 7, 0), "No LF")</f>
        <v>No LF</v>
      </c>
      <c r="H81" s="3" t="str">
        <f>_xlfn.IFNA(VLOOKUP(B81, '[1]Landfall Stats'!A:G, 5, 0), "No LF")</f>
        <v>No LF</v>
      </c>
      <c r="I81" s="3" t="str">
        <f>_xlfn.IFNA(VLOOKUP(B81, '[1]Landfall Stats'!A:G, 6, 0), "No LF")</f>
        <v>No LF</v>
      </c>
      <c r="J81" s="4" t="s">
        <v>126</v>
      </c>
      <c r="K81" s="3">
        <v>0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2.75" customHeight="1" x14ac:dyDescent="0.2">
      <c r="A82" s="3">
        <v>1971</v>
      </c>
      <c r="B82" s="3" t="s">
        <v>138</v>
      </c>
      <c r="C82" s="3" t="str">
        <f>VLOOKUP($B82, '[1]HURDAT Query'!$A$1:$F$1030, 3, 0)</f>
        <v>LAURA</v>
      </c>
      <c r="D82" s="3" t="str">
        <f>VLOOKUP($B82, '[1]HURDAT Query'!$A$1:$F$1030, 4, 0)</f>
        <v>NA</v>
      </c>
      <c r="E82" s="3" t="str">
        <f>VLOOKUP($B82, '[1]HURDAT Query'!$A$1:$F$1030, 5, 0)</f>
        <v>NA</v>
      </c>
      <c r="F82" s="3" t="str">
        <f>VLOOKUP($B82, '[1]HURDAT Query'!$A$1:$F$1030, 6, 0)</f>
        <v>NA</v>
      </c>
      <c r="G82" s="3" t="str">
        <f>_xlfn.IFNA(VLOOKUP(B82, '[1]Landfall Stats'!A:G, 7, 0), "No LF")</f>
        <v>No LF</v>
      </c>
      <c r="H82" s="3" t="str">
        <f>_xlfn.IFNA(VLOOKUP(B82, '[1]Landfall Stats'!A:G, 5, 0), "No LF")</f>
        <v>No LF</v>
      </c>
      <c r="I82" s="3" t="str">
        <f>_xlfn.IFNA(VLOOKUP(B82, '[1]Landfall Stats'!A:G, 6, 0), "No LF")</f>
        <v>No LF</v>
      </c>
      <c r="J82" s="4" t="s">
        <v>126</v>
      </c>
      <c r="K82" s="3">
        <v>0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ht="12.75" customHeight="1" x14ac:dyDescent="0.2">
      <c r="A83" s="3">
        <v>1972</v>
      </c>
      <c r="B83" s="3" t="s">
        <v>139</v>
      </c>
      <c r="C83" s="3" t="str">
        <f>VLOOKUP($B83, '[1]HURDAT Query'!$A$1:$F$1030, 3, 0)</f>
        <v>ALPHA</v>
      </c>
      <c r="D83" s="3" t="str">
        <f>VLOOKUP($B83, '[1]HURDAT Query'!$A$1:$F$1030, 4, 0)</f>
        <v>NA</v>
      </c>
      <c r="E83" s="3" t="str">
        <f>VLOOKUP($B83, '[1]HURDAT Query'!$A$1:$F$1030, 5, 0)</f>
        <v>NA</v>
      </c>
      <c r="F83" s="3" t="str">
        <f>VLOOKUP($B83, '[1]HURDAT Query'!$A$1:$F$1030, 6, 0)</f>
        <v>NA</v>
      </c>
      <c r="G83" s="3" t="str">
        <f>_xlfn.IFNA(VLOOKUP(B83, '[1]Landfall Stats'!A:G, 7, 0), "No LF")</f>
        <v>NA</v>
      </c>
      <c r="H83" s="3">
        <f>_xlfn.IFNA(VLOOKUP(B83, '[1]Landfall Stats'!A:G, 5, 0), "No LF")</f>
        <v>50</v>
      </c>
      <c r="I83" s="3">
        <f>_xlfn.IFNA(VLOOKUP(B83, '[1]Landfall Stats'!A:G, 6, 0), "No LF")</f>
        <v>991</v>
      </c>
      <c r="J83" s="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E83" s="3"/>
    </row>
    <row r="84" spans="1:31" ht="12.75" customHeight="1" x14ac:dyDescent="0.2">
      <c r="A84" s="3">
        <v>1972</v>
      </c>
      <c r="B84" s="3" t="s">
        <v>140</v>
      </c>
      <c r="C84" s="3" t="str">
        <f>VLOOKUP($B84, '[1]HURDAT Query'!$A$1:$F$1030, 3, 0)</f>
        <v>AGNES</v>
      </c>
      <c r="D84" s="3">
        <f>VLOOKUP($B84, '[1]HURDAT Query'!$A$1:$F$1030, 4, 0)</f>
        <v>1</v>
      </c>
      <c r="E84" s="3">
        <f>VLOOKUP($B84, '[1]HURDAT Query'!$A$1:$F$1030, 5, 0)</f>
        <v>75</v>
      </c>
      <c r="F84" s="3">
        <f>VLOOKUP($B84, '[1]HURDAT Query'!$A$1:$F$1030, 6, 0)</f>
        <v>978</v>
      </c>
      <c r="G84" s="3">
        <f>_xlfn.IFNA(VLOOKUP(B84, '[1]Landfall Stats'!A:G, 7, 0), "No LF")</f>
        <v>1</v>
      </c>
      <c r="H84" s="3">
        <f>_xlfn.IFNA(VLOOKUP(B84, '[1]Landfall Stats'!A:G, 5, 0), "No LF")</f>
        <v>65</v>
      </c>
      <c r="I84" s="3">
        <f>_xlfn.IFNA(VLOOKUP(B84, '[1]Landfall Stats'!A:G, 6, 0), "No LF")</f>
        <v>980</v>
      </c>
      <c r="J84" s="8" t="s">
        <v>141</v>
      </c>
      <c r="K84" s="3">
        <v>125</v>
      </c>
      <c r="L84" s="3"/>
      <c r="M84" s="3"/>
      <c r="N84" s="3"/>
      <c r="O84" s="3"/>
      <c r="P84" s="3"/>
      <c r="Q84" s="3"/>
      <c r="R84" s="3"/>
      <c r="S84" s="3"/>
      <c r="T84" s="3">
        <v>114</v>
      </c>
      <c r="U84" s="3" t="s">
        <v>42</v>
      </c>
      <c r="V84" s="3">
        <v>2</v>
      </c>
      <c r="W84" s="3" t="s">
        <v>42</v>
      </c>
      <c r="X84" s="3"/>
      <c r="Y84" s="3"/>
      <c r="Z84" s="3">
        <v>6</v>
      </c>
      <c r="AA84" s="3" t="s">
        <v>51</v>
      </c>
      <c r="AD84" s="3">
        <v>3</v>
      </c>
      <c r="AE84" s="3" t="s">
        <v>51</v>
      </c>
    </row>
    <row r="85" spans="1:31" ht="12.75" customHeight="1" x14ac:dyDescent="0.2">
      <c r="A85" s="3">
        <v>1972</v>
      </c>
      <c r="B85" s="3" t="s">
        <v>142</v>
      </c>
      <c r="C85" s="3" t="str">
        <f>VLOOKUP($B85, '[1]HURDAT Query'!$A$1:$F$1030, 3, 0)</f>
        <v>BETTY</v>
      </c>
      <c r="D85" s="3">
        <f>VLOOKUP($B85, '[1]HURDAT Query'!$A$1:$F$1030, 4, 0)</f>
        <v>2</v>
      </c>
      <c r="E85" s="3">
        <f>VLOOKUP($B85, '[1]HURDAT Query'!$A$1:$F$1030, 5, 0)</f>
        <v>90</v>
      </c>
      <c r="F85" s="3">
        <f>VLOOKUP($B85, '[1]HURDAT Query'!$A$1:$F$1030, 6, 0)</f>
        <v>976</v>
      </c>
      <c r="G85" s="3" t="str">
        <f>_xlfn.IFNA(VLOOKUP(B85, '[1]Landfall Stats'!A:G, 7, 0), "No LF")</f>
        <v>No LF</v>
      </c>
      <c r="H85" s="3" t="str">
        <f>_xlfn.IFNA(VLOOKUP(B85, '[1]Landfall Stats'!A:G, 5, 0), "No LF")</f>
        <v>No LF</v>
      </c>
      <c r="I85" s="3" t="str">
        <f>_xlfn.IFNA(VLOOKUP(B85, '[1]Landfall Stats'!A:G, 6, 0), "No LF")</f>
        <v>No LF</v>
      </c>
      <c r="J85" s="4" t="s">
        <v>143</v>
      </c>
      <c r="K85" s="3">
        <v>0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12.75" customHeight="1" x14ac:dyDescent="0.2">
      <c r="A86" s="3">
        <v>1972</v>
      </c>
      <c r="B86" s="3" t="s">
        <v>144</v>
      </c>
      <c r="C86" s="3" t="str">
        <f>VLOOKUP($B86, '[1]HURDAT Query'!$A$1:$F$1030, 3, 0)</f>
        <v>CARRIE</v>
      </c>
      <c r="D86" s="3" t="str">
        <f>VLOOKUP($B86, '[1]HURDAT Query'!$A$1:$F$1030, 4, 0)</f>
        <v>NA</v>
      </c>
      <c r="E86" s="3" t="str">
        <f>VLOOKUP($B86, '[1]HURDAT Query'!$A$1:$F$1030, 5, 0)</f>
        <v>NA</v>
      </c>
      <c r="F86" s="3" t="str">
        <f>VLOOKUP($B86, '[1]HURDAT Query'!$A$1:$F$1030, 6, 0)</f>
        <v>NA</v>
      </c>
      <c r="G86" s="3" t="str">
        <f>_xlfn.IFNA(VLOOKUP(B86, '[1]Landfall Stats'!A:G, 7, 0), "No LF")</f>
        <v>NA</v>
      </c>
      <c r="H86" s="3">
        <f>_xlfn.IFNA(VLOOKUP(B86, '[1]Landfall Stats'!A:G, 5, 0), "No LF")</f>
        <v>50</v>
      </c>
      <c r="I86" s="3" t="str">
        <f>_xlfn.IFNA(VLOOKUP(B86, '[1]Landfall Stats'!A:G, 6, 0), "No LF")</f>
        <v>NA</v>
      </c>
      <c r="J86" s="4" t="s">
        <v>145</v>
      </c>
      <c r="K86" s="3">
        <v>4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>
        <v>4</v>
      </c>
      <c r="AE86" s="3" t="s">
        <v>42</v>
      </c>
    </row>
    <row r="87" spans="1:31" ht="12.75" customHeight="1" x14ac:dyDescent="0.2">
      <c r="A87" s="3">
        <v>1972</v>
      </c>
      <c r="B87" s="3" t="s">
        <v>146</v>
      </c>
      <c r="C87" s="3" t="str">
        <f>VLOOKUP($B87, '[1]HURDAT Query'!$A$1:$F$1030, 3, 0)</f>
        <v>DAWN</v>
      </c>
      <c r="D87" s="3">
        <f>VLOOKUP($B87, '[1]HURDAT Query'!$A$1:$F$1030, 4, 0)</f>
        <v>1</v>
      </c>
      <c r="E87" s="3">
        <f>VLOOKUP($B87, '[1]HURDAT Query'!$A$1:$F$1030, 5, 0)</f>
        <v>70</v>
      </c>
      <c r="F87" s="3">
        <f>VLOOKUP($B87, '[1]HURDAT Query'!$A$1:$F$1030, 6, 0)</f>
        <v>997</v>
      </c>
      <c r="G87" s="3" t="str">
        <f>_xlfn.IFNA(VLOOKUP(B87, '[1]Landfall Stats'!A:G, 7, 0), "No LF")</f>
        <v>NA</v>
      </c>
      <c r="H87" s="3">
        <f>_xlfn.IFNA(VLOOKUP(B87, '[1]Landfall Stats'!A:G, 5, 0), "No LF")</f>
        <v>30</v>
      </c>
      <c r="I87" s="3" t="str">
        <f>_xlfn.IFNA(VLOOKUP(B87, '[1]Landfall Stats'!A:G, 6, 0), "No LF")</f>
        <v>NA</v>
      </c>
      <c r="J87" s="5" t="s">
        <v>145</v>
      </c>
      <c r="K87" s="3">
        <v>0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2.75" customHeight="1" x14ac:dyDescent="0.2">
      <c r="A88" s="3">
        <v>1972</v>
      </c>
      <c r="B88" s="3" t="s">
        <v>147</v>
      </c>
      <c r="C88" s="3" t="str">
        <f>VLOOKUP($B88, '[1]HURDAT Query'!$A$1:$F$1030, 3, 0)</f>
        <v>CHARLIE</v>
      </c>
      <c r="D88" s="3" t="str">
        <f>VLOOKUP($B88, '[1]HURDAT Query'!$A$1:$F$1030, 4, 0)</f>
        <v>NA</v>
      </c>
      <c r="E88" s="3" t="str">
        <f>VLOOKUP($B88, '[1]HURDAT Query'!$A$1:$F$1030, 5, 0)</f>
        <v>NA</v>
      </c>
      <c r="F88" s="3" t="str">
        <f>VLOOKUP($B88, '[1]HURDAT Query'!$A$1:$F$1030, 6, 0)</f>
        <v>NA</v>
      </c>
      <c r="G88" s="3" t="str">
        <f>_xlfn.IFNA(VLOOKUP(B88, '[1]Landfall Stats'!A:G, 7, 0), "No LF")</f>
        <v>No LF</v>
      </c>
      <c r="H88" s="3" t="str">
        <f>_xlfn.IFNA(VLOOKUP(B88, '[1]Landfall Stats'!A:G, 5, 0), "No LF")</f>
        <v>No LF</v>
      </c>
      <c r="I88" s="3" t="str">
        <f>_xlfn.IFNA(VLOOKUP(B88, '[1]Landfall Stats'!A:G, 6, 0), "No LF")</f>
        <v>No LF</v>
      </c>
      <c r="J88" s="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2.75" customHeight="1" x14ac:dyDescent="0.2">
      <c r="A89" s="3">
        <v>1972</v>
      </c>
      <c r="B89" s="3" t="s">
        <v>148</v>
      </c>
      <c r="C89" s="3" t="str">
        <f>VLOOKUP($B89, '[1]HURDAT Query'!$A$1:$F$1030, 3, 0)</f>
        <v>DELTA</v>
      </c>
      <c r="D89" s="3" t="str">
        <f>VLOOKUP($B89, '[1]HURDAT Query'!$A$1:$F$1030, 4, 0)</f>
        <v>NA</v>
      </c>
      <c r="E89" s="3" t="str">
        <f>VLOOKUP($B89, '[1]HURDAT Query'!$A$1:$F$1030, 5, 0)</f>
        <v>NA</v>
      </c>
      <c r="F89" s="3" t="str">
        <f>VLOOKUP($B89, '[1]HURDAT Query'!$A$1:$F$1030, 6, 0)</f>
        <v>NA</v>
      </c>
      <c r="G89" s="3" t="str">
        <f>_xlfn.IFNA(VLOOKUP(B89, '[1]Landfall Stats'!A:G, 7, 0), "No LF")</f>
        <v>No LF</v>
      </c>
      <c r="H89" s="3" t="str">
        <f>_xlfn.IFNA(VLOOKUP(B89, '[1]Landfall Stats'!A:G, 5, 0), "No LF")</f>
        <v>No LF</v>
      </c>
      <c r="I89" s="3" t="str">
        <f>_xlfn.IFNA(VLOOKUP(B89, '[1]Landfall Stats'!A:G, 6, 0), "No LF")</f>
        <v>No LF</v>
      </c>
      <c r="J89" s="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2.75" customHeight="1" x14ac:dyDescent="0.2">
      <c r="A90" s="3">
        <v>1973</v>
      </c>
      <c r="B90" s="3" t="s">
        <v>149</v>
      </c>
      <c r="C90" s="3" t="str">
        <f>VLOOKUP($B90, '[1]HURDAT Query'!$A$1:$F$1030, 3, 0)</f>
        <v>ALICE</v>
      </c>
      <c r="D90" s="3">
        <f>VLOOKUP($B90, '[1]HURDAT Query'!$A$1:$F$1030, 4, 0)</f>
        <v>1</v>
      </c>
      <c r="E90" s="3">
        <f>VLOOKUP($B90, '[1]HURDAT Query'!$A$1:$F$1030, 5, 0)</f>
        <v>80</v>
      </c>
      <c r="F90" s="3">
        <f>VLOOKUP($B90, '[1]HURDAT Query'!$A$1:$F$1030, 6, 0)</f>
        <v>986</v>
      </c>
      <c r="G90" s="3" t="str">
        <f>_xlfn.IFNA(VLOOKUP(B90, '[1]Landfall Stats'!A:G, 7, 0), "No LF")</f>
        <v>No LF</v>
      </c>
      <c r="H90" s="3" t="str">
        <f>_xlfn.IFNA(VLOOKUP(B90, '[1]Landfall Stats'!A:G, 5, 0), "No LF")</f>
        <v>No LF</v>
      </c>
      <c r="I90" s="3" t="str">
        <f>_xlfn.IFNA(VLOOKUP(B90, '[1]Landfall Stats'!A:G, 6, 0), "No LF")</f>
        <v>No LF</v>
      </c>
      <c r="J90" s="5" t="s">
        <v>150</v>
      </c>
      <c r="K90" s="3">
        <v>0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12.75" customHeight="1" x14ac:dyDescent="0.2">
      <c r="A91" s="3">
        <v>1973</v>
      </c>
      <c r="B91" s="3" t="s">
        <v>151</v>
      </c>
      <c r="C91" s="3" t="str">
        <f>VLOOKUP($B91, '[1]HURDAT Query'!$A$1:$F$1030, 3, 0)</f>
        <v>ALFA</v>
      </c>
      <c r="D91" s="3" t="str">
        <f>VLOOKUP($B91, '[1]HURDAT Query'!$A$1:$F$1030, 4, 0)</f>
        <v>NA</v>
      </c>
      <c r="E91" s="3" t="str">
        <f>VLOOKUP($B91, '[1]HURDAT Query'!$A$1:$F$1030, 5, 0)</f>
        <v>NA</v>
      </c>
      <c r="F91" s="3" t="str">
        <f>VLOOKUP($B91, '[1]HURDAT Query'!$A$1:$F$1030, 6, 0)</f>
        <v>NA</v>
      </c>
      <c r="G91" s="3" t="str">
        <f>_xlfn.IFNA(VLOOKUP(B91, '[1]Landfall Stats'!A:G, 7, 0), "No LF")</f>
        <v>No LF</v>
      </c>
      <c r="H91" s="3" t="str">
        <f>_xlfn.IFNA(VLOOKUP(B91, '[1]Landfall Stats'!A:G, 5, 0), "No LF")</f>
        <v>No LF</v>
      </c>
      <c r="I91" s="3" t="str">
        <f>_xlfn.IFNA(VLOOKUP(B91, '[1]Landfall Stats'!A:G, 6, 0), "No LF")</f>
        <v>No LF</v>
      </c>
      <c r="J91" s="7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2.75" customHeight="1" x14ac:dyDescent="0.2">
      <c r="A92" s="3">
        <v>1973</v>
      </c>
      <c r="B92" s="3" t="s">
        <v>152</v>
      </c>
      <c r="C92" s="3" t="str">
        <f>VLOOKUP($B92, '[1]HURDAT Query'!$A$1:$F$1030, 3, 0)</f>
        <v>BRENDA</v>
      </c>
      <c r="D92" s="3">
        <f>VLOOKUP($B92, '[1]HURDAT Query'!$A$1:$F$1030, 4, 0)</f>
        <v>1</v>
      </c>
      <c r="E92" s="3">
        <f>VLOOKUP($B92, '[1]HURDAT Query'!$A$1:$F$1030, 5, 0)</f>
        <v>80</v>
      </c>
      <c r="F92" s="3">
        <f>VLOOKUP($B92, '[1]HURDAT Query'!$A$1:$F$1030, 6, 0)</f>
        <v>977</v>
      </c>
      <c r="G92" s="3" t="str">
        <f>_xlfn.IFNA(VLOOKUP(B92, '[1]Landfall Stats'!A:G, 7, 0), "No LF")</f>
        <v>No LF</v>
      </c>
      <c r="H92" s="3" t="str">
        <f>_xlfn.IFNA(VLOOKUP(B92, '[1]Landfall Stats'!A:G, 5, 0), "No LF")</f>
        <v>No LF</v>
      </c>
      <c r="I92" s="3" t="str">
        <f>_xlfn.IFNA(VLOOKUP(B92, '[1]Landfall Stats'!A:G, 6, 0), "No LF")</f>
        <v>No LF</v>
      </c>
      <c r="J92" s="5" t="s">
        <v>150</v>
      </c>
      <c r="K92" s="3">
        <v>0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12.75" customHeight="1" x14ac:dyDescent="0.2">
      <c r="A93" s="3">
        <v>1973</v>
      </c>
      <c r="B93" s="3" t="s">
        <v>153</v>
      </c>
      <c r="C93" s="3" t="str">
        <f>VLOOKUP($B93, '[1]HURDAT Query'!$A$1:$F$1030, 3, 0)</f>
        <v>CHRISTINE</v>
      </c>
      <c r="D93" s="3" t="str">
        <f>VLOOKUP($B93, '[1]HURDAT Query'!$A$1:$F$1030, 4, 0)</f>
        <v>NA</v>
      </c>
      <c r="E93" s="3" t="str">
        <f>VLOOKUP($B93, '[1]HURDAT Query'!$A$1:$F$1030, 5, 0)</f>
        <v>NA</v>
      </c>
      <c r="F93" s="3" t="str">
        <f>VLOOKUP($B93, '[1]HURDAT Query'!$A$1:$F$1030, 6, 0)</f>
        <v>NA</v>
      </c>
      <c r="G93" s="3" t="str">
        <f>_xlfn.IFNA(VLOOKUP(B93, '[1]Landfall Stats'!A:G, 7, 0), "No LF")</f>
        <v>No LF</v>
      </c>
      <c r="H93" s="3" t="str">
        <f>_xlfn.IFNA(VLOOKUP(B93, '[1]Landfall Stats'!A:G, 5, 0), "No LF")</f>
        <v>No LF</v>
      </c>
      <c r="I93" s="3" t="str">
        <f>_xlfn.IFNA(VLOOKUP(B93, '[1]Landfall Stats'!A:G, 6, 0), "No LF")</f>
        <v>No LF</v>
      </c>
      <c r="J93" s="5" t="s">
        <v>150</v>
      </c>
      <c r="K93" s="3">
        <v>0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2.75" customHeight="1" x14ac:dyDescent="0.2">
      <c r="A94" s="3">
        <v>1973</v>
      </c>
      <c r="B94" s="3" t="s">
        <v>154</v>
      </c>
      <c r="C94" s="3" t="str">
        <f>VLOOKUP($B94, '[1]HURDAT Query'!$A$1:$F$1030, 3, 0)</f>
        <v>DELIA</v>
      </c>
      <c r="D94" s="3" t="str">
        <f>VLOOKUP($B94, '[1]HURDAT Query'!$A$1:$F$1030, 4, 0)</f>
        <v>NA</v>
      </c>
      <c r="E94" s="3" t="str">
        <f>VLOOKUP($B94, '[1]HURDAT Query'!$A$1:$F$1030, 5, 0)</f>
        <v>NA</v>
      </c>
      <c r="F94" s="3" t="str">
        <f>VLOOKUP($B94, '[1]HURDAT Query'!$A$1:$F$1030, 6, 0)</f>
        <v>NA</v>
      </c>
      <c r="G94" s="3" t="str">
        <f>_xlfn.IFNA(VLOOKUP(B94, '[1]Landfall Stats'!A:G, 7, 0), "No LF")</f>
        <v>NA</v>
      </c>
      <c r="H94" s="3">
        <f>_xlfn.IFNA(VLOOKUP(B94, '[1]Landfall Stats'!A:G, 5, 0), "No LF")</f>
        <v>55</v>
      </c>
      <c r="I94" s="3" t="str">
        <f>_xlfn.IFNA(VLOOKUP(B94, '[1]Landfall Stats'!A:G, 6, 0), "No LF")</f>
        <v>NA</v>
      </c>
      <c r="J94" s="5" t="s">
        <v>150</v>
      </c>
      <c r="K94" s="3">
        <v>2</v>
      </c>
      <c r="L94" s="3"/>
      <c r="M94" s="3"/>
      <c r="N94" s="3"/>
      <c r="O94" s="3"/>
      <c r="P94" s="3"/>
      <c r="Q94" s="3"/>
      <c r="R94" s="3"/>
      <c r="S94" s="3"/>
      <c r="T94" s="3">
        <v>2</v>
      </c>
      <c r="U94" s="3" t="s">
        <v>38</v>
      </c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12.75" customHeight="1" x14ac:dyDescent="0.2">
      <c r="A95" s="3">
        <v>1973</v>
      </c>
      <c r="B95" s="3" t="s">
        <v>155</v>
      </c>
      <c r="C95" s="3" t="str">
        <f>VLOOKUP($B95, '[1]HURDAT Query'!$A$1:$F$1030, 3, 0)</f>
        <v>ELLEN</v>
      </c>
      <c r="D95" s="3">
        <f>VLOOKUP($B95, '[1]HURDAT Query'!$A$1:$F$1030, 4, 0)</f>
        <v>3</v>
      </c>
      <c r="E95" s="3">
        <f>VLOOKUP($B95, '[1]HURDAT Query'!$A$1:$F$1030, 5, 0)</f>
        <v>100</v>
      </c>
      <c r="F95" s="3">
        <f>VLOOKUP($B95, '[1]HURDAT Query'!$A$1:$F$1030, 6, 0)</f>
        <v>962</v>
      </c>
      <c r="G95" s="3" t="str">
        <f>_xlfn.IFNA(VLOOKUP(B95, '[1]Landfall Stats'!A:G, 7, 0), "No LF")</f>
        <v>No LF</v>
      </c>
      <c r="H95" s="3" t="str">
        <f>_xlfn.IFNA(VLOOKUP(B95, '[1]Landfall Stats'!A:G, 5, 0), "No LF")</f>
        <v>No LF</v>
      </c>
      <c r="I95" s="3" t="str">
        <f>_xlfn.IFNA(VLOOKUP(B95, '[1]Landfall Stats'!A:G, 6, 0), "No LF")</f>
        <v>No LF</v>
      </c>
      <c r="J95" s="5" t="s">
        <v>150</v>
      </c>
      <c r="K95" s="3">
        <v>0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2.75" customHeight="1" x14ac:dyDescent="0.2">
      <c r="A96" s="3">
        <v>1973</v>
      </c>
      <c r="B96" s="3" t="s">
        <v>156</v>
      </c>
      <c r="C96" s="3" t="str">
        <f>VLOOKUP($B96, '[1]HURDAT Query'!$A$1:$F$1030, 3, 0)</f>
        <v>FRAN</v>
      </c>
      <c r="D96" s="3">
        <f>VLOOKUP($B96, '[1]HURDAT Query'!$A$1:$F$1030, 4, 0)</f>
        <v>1</v>
      </c>
      <c r="E96" s="3">
        <f>VLOOKUP($B96, '[1]HURDAT Query'!$A$1:$F$1030, 5, 0)</f>
        <v>70</v>
      </c>
      <c r="F96" s="3">
        <f>VLOOKUP($B96, '[1]HURDAT Query'!$A$1:$F$1030, 6, 0)</f>
        <v>978</v>
      </c>
      <c r="G96" s="3" t="str">
        <f>_xlfn.IFNA(VLOOKUP(B96, '[1]Landfall Stats'!A:G, 7, 0), "No LF")</f>
        <v>No LF</v>
      </c>
      <c r="H96" s="3" t="str">
        <f>_xlfn.IFNA(VLOOKUP(B96, '[1]Landfall Stats'!A:G, 5, 0), "No LF")</f>
        <v>No LF</v>
      </c>
      <c r="I96" s="3" t="str">
        <f>_xlfn.IFNA(VLOOKUP(B96, '[1]Landfall Stats'!A:G, 6, 0), "No LF")</f>
        <v>No LF</v>
      </c>
      <c r="J96" s="5" t="s">
        <v>150</v>
      </c>
      <c r="K96" s="3">
        <v>0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12.75" customHeight="1" x14ac:dyDescent="0.2">
      <c r="A97" s="3">
        <v>1973</v>
      </c>
      <c r="B97" s="3" t="s">
        <v>157</v>
      </c>
      <c r="C97" s="3" t="str">
        <f>VLOOKUP($B97, '[1]HURDAT Query'!$A$1:$F$1030, 3, 0)</f>
        <v>GILDA</v>
      </c>
      <c r="D97" s="3" t="str">
        <f>VLOOKUP($B97, '[1]HURDAT Query'!$A$1:$F$1030, 4, 0)</f>
        <v>NA</v>
      </c>
      <c r="E97" s="3" t="str">
        <f>VLOOKUP($B97, '[1]HURDAT Query'!$A$1:$F$1030, 5, 0)</f>
        <v>NA</v>
      </c>
      <c r="F97" s="3" t="str">
        <f>VLOOKUP($B97, '[1]HURDAT Query'!$A$1:$F$1030, 6, 0)</f>
        <v>NA</v>
      </c>
      <c r="G97" s="3" t="str">
        <f>_xlfn.IFNA(VLOOKUP(B97, '[1]Landfall Stats'!A:G, 7, 0), "No LF")</f>
        <v>No LF</v>
      </c>
      <c r="H97" s="3" t="str">
        <f>_xlfn.IFNA(VLOOKUP(B97, '[1]Landfall Stats'!A:G, 5, 0), "No LF")</f>
        <v>No LF</v>
      </c>
      <c r="I97" s="3" t="str">
        <f>_xlfn.IFNA(VLOOKUP(B97, '[1]Landfall Stats'!A:G, 6, 0), "No LF")</f>
        <v>No LF</v>
      </c>
      <c r="J97" s="5" t="s">
        <v>150</v>
      </c>
      <c r="K97" s="3">
        <v>0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2.75" customHeight="1" x14ac:dyDescent="0.2">
      <c r="A98" s="3">
        <v>1974</v>
      </c>
      <c r="B98" s="3" t="s">
        <v>158</v>
      </c>
      <c r="C98" s="3" t="str">
        <f>VLOOKUP($B98, '[1]HURDAT Query'!$A$1:$F$1030, 3, 0)</f>
        <v>ALMA</v>
      </c>
      <c r="D98" s="3" t="str">
        <f>VLOOKUP($B98, '[1]HURDAT Query'!$A$1:$F$1030, 4, 0)</f>
        <v>NA</v>
      </c>
      <c r="E98" s="3" t="str">
        <f>VLOOKUP($B98, '[1]HURDAT Query'!$A$1:$F$1030, 5, 0)</f>
        <v>NA</v>
      </c>
      <c r="F98" s="3" t="str">
        <f>VLOOKUP($B98, '[1]HURDAT Query'!$A$1:$F$1030, 6, 0)</f>
        <v>NA</v>
      </c>
      <c r="G98" s="3" t="str">
        <f>_xlfn.IFNA(VLOOKUP(B98, '[1]Landfall Stats'!A:G, 7, 0), "No LF")</f>
        <v>No LF</v>
      </c>
      <c r="H98" s="3" t="str">
        <f>_xlfn.IFNA(VLOOKUP(B98, '[1]Landfall Stats'!A:G, 5, 0), "No LF")</f>
        <v>No LF</v>
      </c>
      <c r="I98" s="3" t="str">
        <f>_xlfn.IFNA(VLOOKUP(B98, '[1]Landfall Stats'!A:G, 6, 0), "No LF")</f>
        <v>No LF</v>
      </c>
      <c r="J98" s="4" t="s">
        <v>159</v>
      </c>
      <c r="K98" s="3">
        <v>0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2.75" customHeight="1" x14ac:dyDescent="0.2">
      <c r="A99" s="3">
        <v>1974</v>
      </c>
      <c r="B99" s="3" t="s">
        <v>160</v>
      </c>
      <c r="C99" s="3" t="str">
        <f>VLOOKUP($B99, '[1]HURDAT Query'!$A$1:$F$1030, 3, 0)</f>
        <v>BECKY</v>
      </c>
      <c r="D99" s="3">
        <f>VLOOKUP($B99, '[1]HURDAT Query'!$A$1:$F$1030, 4, 0)</f>
        <v>3</v>
      </c>
      <c r="E99" s="3">
        <f>VLOOKUP($B99, '[1]HURDAT Query'!$A$1:$F$1030, 5, 0)</f>
        <v>100</v>
      </c>
      <c r="F99" s="3">
        <f>VLOOKUP($B99, '[1]HURDAT Query'!$A$1:$F$1030, 6, 0)</f>
        <v>977</v>
      </c>
      <c r="G99" s="3" t="str">
        <f>_xlfn.IFNA(VLOOKUP(B99, '[1]Landfall Stats'!A:G, 7, 0), "No LF")</f>
        <v>No LF</v>
      </c>
      <c r="H99" s="3" t="str">
        <f>_xlfn.IFNA(VLOOKUP(B99, '[1]Landfall Stats'!A:G, 5, 0), "No LF")</f>
        <v>No LF</v>
      </c>
      <c r="I99" s="3" t="str">
        <f>_xlfn.IFNA(VLOOKUP(B99, '[1]Landfall Stats'!A:G, 6, 0), "No LF")</f>
        <v>No LF</v>
      </c>
      <c r="J99" s="4" t="s">
        <v>161</v>
      </c>
      <c r="K99" s="3">
        <v>0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2.75" customHeight="1" x14ac:dyDescent="0.2">
      <c r="A100" s="3">
        <v>1974</v>
      </c>
      <c r="B100" s="3" t="s">
        <v>162</v>
      </c>
      <c r="C100" s="3" t="str">
        <f>VLOOKUP($B100, '[1]HURDAT Query'!$A$1:$F$1030, 3, 0)</f>
        <v>CARMEN</v>
      </c>
      <c r="D100" s="3">
        <f>VLOOKUP($B100, '[1]HURDAT Query'!$A$1:$F$1030, 4, 0)</f>
        <v>4</v>
      </c>
      <c r="E100" s="3">
        <f>VLOOKUP($B100, '[1]HURDAT Query'!$A$1:$F$1030, 5, 0)</f>
        <v>130</v>
      </c>
      <c r="F100" s="3">
        <f>VLOOKUP($B100, '[1]HURDAT Query'!$A$1:$F$1030, 6, 0)</f>
        <v>928</v>
      </c>
      <c r="G100" s="3">
        <f>_xlfn.IFNA(VLOOKUP(B100, '[1]Landfall Stats'!A:G, 7, 0), "No LF")</f>
        <v>4</v>
      </c>
      <c r="H100" s="3">
        <f>_xlfn.IFNA(VLOOKUP(B100, '[1]Landfall Stats'!A:G, 5, 0), "No LF")</f>
        <v>130</v>
      </c>
      <c r="I100" s="3">
        <f>_xlfn.IFNA(VLOOKUP(B100, '[1]Landfall Stats'!A:G, 6, 0), "No LF")</f>
        <v>937</v>
      </c>
      <c r="J100" s="4" t="s">
        <v>161</v>
      </c>
      <c r="K100" s="3">
        <v>0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2.75" customHeight="1" x14ac:dyDescent="0.2">
      <c r="A101" s="3">
        <v>1974</v>
      </c>
      <c r="B101" s="3" t="s">
        <v>163</v>
      </c>
      <c r="C101" s="3" t="str">
        <f>VLOOKUP($B101, '[1]HURDAT Query'!$A$1:$F$1030, 3, 0)</f>
        <v>DOLLY</v>
      </c>
      <c r="D101" s="3" t="str">
        <f>VLOOKUP($B101, '[1]HURDAT Query'!$A$1:$F$1030, 4, 0)</f>
        <v>NA</v>
      </c>
      <c r="E101" s="3" t="str">
        <f>VLOOKUP($B101, '[1]HURDAT Query'!$A$1:$F$1030, 5, 0)</f>
        <v>NA</v>
      </c>
      <c r="F101" s="3" t="str">
        <f>VLOOKUP($B101, '[1]HURDAT Query'!$A$1:$F$1030, 6, 0)</f>
        <v>NA</v>
      </c>
      <c r="G101" s="3" t="str">
        <f>_xlfn.IFNA(VLOOKUP(B101, '[1]Landfall Stats'!A:G, 7, 0), "No LF")</f>
        <v>No LF</v>
      </c>
      <c r="H101" s="3" t="str">
        <f>_xlfn.IFNA(VLOOKUP(B101, '[1]Landfall Stats'!A:G, 5, 0), "No LF")</f>
        <v>No LF</v>
      </c>
      <c r="I101" s="3" t="str">
        <f>_xlfn.IFNA(VLOOKUP(B101, '[1]Landfall Stats'!A:G, 6, 0), "No LF")</f>
        <v>No LF</v>
      </c>
      <c r="J101" s="4" t="s">
        <v>161</v>
      </c>
      <c r="K101" s="3">
        <v>0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12.75" customHeight="1" x14ac:dyDescent="0.2">
      <c r="A102" s="3">
        <v>1974</v>
      </c>
      <c r="B102" s="3" t="s">
        <v>164</v>
      </c>
      <c r="C102" s="3" t="str">
        <f>VLOOKUP($B102, '[1]HURDAT Query'!$A$1:$F$1030, 3, 0)</f>
        <v>ELAINE</v>
      </c>
      <c r="D102" s="3" t="str">
        <f>VLOOKUP($B102, '[1]HURDAT Query'!$A$1:$F$1030, 4, 0)</f>
        <v>NA</v>
      </c>
      <c r="E102" s="3" t="str">
        <f>VLOOKUP($B102, '[1]HURDAT Query'!$A$1:$F$1030, 5, 0)</f>
        <v>NA</v>
      </c>
      <c r="F102" s="3" t="str">
        <f>VLOOKUP($B102, '[1]HURDAT Query'!$A$1:$F$1030, 6, 0)</f>
        <v>NA</v>
      </c>
      <c r="G102" s="3" t="str">
        <f>_xlfn.IFNA(VLOOKUP(B102, '[1]Landfall Stats'!A:G, 7, 0), "No LF")</f>
        <v>No LF</v>
      </c>
      <c r="H102" s="3" t="str">
        <f>_xlfn.IFNA(VLOOKUP(B102, '[1]Landfall Stats'!A:G, 5, 0), "No LF")</f>
        <v>No LF</v>
      </c>
      <c r="I102" s="3" t="str">
        <f>_xlfn.IFNA(VLOOKUP(B102, '[1]Landfall Stats'!A:G, 6, 0), "No LF")</f>
        <v>No LF</v>
      </c>
      <c r="J102" s="4" t="s">
        <v>161</v>
      </c>
      <c r="K102" s="3">
        <v>0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2.75" customHeight="1" x14ac:dyDescent="0.2">
      <c r="A103" s="3">
        <v>1974</v>
      </c>
      <c r="B103" s="3" t="s">
        <v>165</v>
      </c>
      <c r="C103" s="3" t="str">
        <f>VLOOKUP($B103, '[1]HURDAT Query'!$A$1:$F$1030, 3, 0)</f>
        <v>FIFI</v>
      </c>
      <c r="D103" s="3">
        <f>VLOOKUP($B103, '[1]HURDAT Query'!$A$1:$F$1030, 4, 0)</f>
        <v>2</v>
      </c>
      <c r="E103" s="3">
        <f>VLOOKUP($B103, '[1]HURDAT Query'!$A$1:$F$1030, 5, 0)</f>
        <v>95</v>
      </c>
      <c r="F103" s="3">
        <f>VLOOKUP($B103, '[1]HURDAT Query'!$A$1:$F$1030, 6, 0)</f>
        <v>971</v>
      </c>
      <c r="G103" s="3" t="str">
        <f>_xlfn.IFNA(VLOOKUP(B103, '[1]Landfall Stats'!A:G, 7, 0), "No LF")</f>
        <v>No LF</v>
      </c>
      <c r="H103" s="3" t="str">
        <f>_xlfn.IFNA(VLOOKUP(B103, '[1]Landfall Stats'!A:G, 5, 0), "No LF")</f>
        <v>No LF</v>
      </c>
      <c r="I103" s="3" t="str">
        <f>_xlfn.IFNA(VLOOKUP(B103, '[1]Landfall Stats'!A:G, 6, 0), "No LF")</f>
        <v>No LF</v>
      </c>
      <c r="J103" s="4" t="s">
        <v>161</v>
      </c>
      <c r="K103" s="3">
        <v>0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2.75" customHeight="1" x14ac:dyDescent="0.2">
      <c r="A104" s="3">
        <v>1974</v>
      </c>
      <c r="B104" s="3" t="s">
        <v>166</v>
      </c>
      <c r="C104" s="3" t="str">
        <f>VLOOKUP($B104, '[1]HURDAT Query'!$A$1:$F$1030, 3, 0)</f>
        <v>GERTRUDE</v>
      </c>
      <c r="D104" s="3">
        <f>VLOOKUP($B104, '[1]HURDAT Query'!$A$1:$F$1030, 4, 0)</f>
        <v>1</v>
      </c>
      <c r="E104" s="3">
        <f>VLOOKUP($B104, '[1]HURDAT Query'!$A$1:$F$1030, 5, 0)</f>
        <v>65</v>
      </c>
      <c r="F104" s="3">
        <f>VLOOKUP($B104, '[1]HURDAT Query'!$A$1:$F$1030, 6, 0)</f>
        <v>999</v>
      </c>
      <c r="G104" s="3" t="str">
        <f>_xlfn.IFNA(VLOOKUP(B104, '[1]Landfall Stats'!A:G, 7, 0), "No LF")</f>
        <v>No LF</v>
      </c>
      <c r="H104" s="3" t="str">
        <f>_xlfn.IFNA(VLOOKUP(B104, '[1]Landfall Stats'!A:G, 5, 0), "No LF")</f>
        <v>No LF</v>
      </c>
      <c r="I104" s="3" t="str">
        <f>_xlfn.IFNA(VLOOKUP(B104, '[1]Landfall Stats'!A:G, 6, 0), "No LF")</f>
        <v>No LF</v>
      </c>
      <c r="J104" s="4" t="s">
        <v>161</v>
      </c>
      <c r="K104" s="3">
        <v>0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2.75" customHeight="1" x14ac:dyDescent="0.2">
      <c r="A105" s="3">
        <v>1975</v>
      </c>
      <c r="B105" s="3" t="s">
        <v>167</v>
      </c>
      <c r="C105" s="3" t="str">
        <f>VLOOKUP($B105, '[1]HURDAT Query'!$A$1:$F$1030, 3, 0)</f>
        <v>AMY</v>
      </c>
      <c r="D105" s="3" t="str">
        <f>VLOOKUP($B105, '[1]HURDAT Query'!$A$1:$F$1030, 4, 0)</f>
        <v>NA</v>
      </c>
      <c r="E105" s="3" t="str">
        <f>VLOOKUP($B105, '[1]HURDAT Query'!$A$1:$F$1030, 5, 0)</f>
        <v>NA</v>
      </c>
      <c r="F105" s="3" t="str">
        <f>VLOOKUP($B105, '[1]HURDAT Query'!$A$1:$F$1030, 6, 0)</f>
        <v>NA</v>
      </c>
      <c r="G105" s="3" t="str">
        <f>_xlfn.IFNA(VLOOKUP(B105, '[1]Landfall Stats'!A:G, 7, 0), "No LF")</f>
        <v>No LF</v>
      </c>
      <c r="H105" s="3" t="str">
        <f>_xlfn.IFNA(VLOOKUP(B105, '[1]Landfall Stats'!A:G, 5, 0), "No LF")</f>
        <v>No LF</v>
      </c>
      <c r="I105" s="3" t="str">
        <f>_xlfn.IFNA(VLOOKUP(B105, '[1]Landfall Stats'!A:G, 6, 0), "No LF")</f>
        <v>No LF</v>
      </c>
      <c r="J105" s="4" t="s">
        <v>168</v>
      </c>
      <c r="K105" s="3">
        <v>0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2.75" customHeight="1" x14ac:dyDescent="0.2">
      <c r="A106" s="3">
        <v>1975</v>
      </c>
      <c r="B106" s="3" t="s">
        <v>169</v>
      </c>
      <c r="C106" s="3" t="str">
        <f>VLOOKUP($B106, '[1]HURDAT Query'!$A$1:$F$1030, 3, 0)</f>
        <v>BLANCHE</v>
      </c>
      <c r="D106" s="3">
        <f>VLOOKUP($B106, '[1]HURDAT Query'!$A$1:$F$1030, 4, 0)</f>
        <v>1</v>
      </c>
      <c r="E106" s="3">
        <f>VLOOKUP($B106, '[1]HURDAT Query'!$A$1:$F$1030, 5, 0)</f>
        <v>75</v>
      </c>
      <c r="F106" s="3">
        <f>VLOOKUP($B106, '[1]HURDAT Query'!$A$1:$F$1030, 6, 0)</f>
        <v>980</v>
      </c>
      <c r="G106" s="3" t="str">
        <f>_xlfn.IFNA(VLOOKUP(B106, '[1]Landfall Stats'!A:G, 7, 0), "No LF")</f>
        <v>No LF</v>
      </c>
      <c r="H106" s="3" t="str">
        <f>_xlfn.IFNA(VLOOKUP(B106, '[1]Landfall Stats'!A:G, 5, 0), "No LF")</f>
        <v>No LF</v>
      </c>
      <c r="I106" s="3" t="str">
        <f>_xlfn.IFNA(VLOOKUP(B106, '[1]Landfall Stats'!A:G, 6, 0), "No LF")</f>
        <v>No LF</v>
      </c>
      <c r="J106" s="4" t="s">
        <v>170</v>
      </c>
      <c r="K106" s="3">
        <v>0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2.75" customHeight="1" x14ac:dyDescent="0.2">
      <c r="A107" s="3">
        <v>1975</v>
      </c>
      <c r="B107" s="3" t="s">
        <v>171</v>
      </c>
      <c r="C107" s="3" t="str">
        <f>VLOOKUP($B107, '[1]HURDAT Query'!$A$1:$F$1030, 3, 0)</f>
        <v>CAROLINE</v>
      </c>
      <c r="D107" s="3">
        <f>VLOOKUP($B107, '[1]HURDAT Query'!$A$1:$F$1030, 4, 0)</f>
        <v>3</v>
      </c>
      <c r="E107" s="3">
        <f>VLOOKUP($B107, '[1]HURDAT Query'!$A$1:$F$1030, 5, 0)</f>
        <v>100</v>
      </c>
      <c r="F107" s="3">
        <f>VLOOKUP($B107, '[1]HURDAT Query'!$A$1:$F$1030, 6, 0)</f>
        <v>963</v>
      </c>
      <c r="G107" s="3" t="str">
        <f>_xlfn.IFNA(VLOOKUP(B107, '[1]Landfall Stats'!A:G, 7, 0), "No LF")</f>
        <v>No LF</v>
      </c>
      <c r="H107" s="3" t="str">
        <f>_xlfn.IFNA(VLOOKUP(B107, '[1]Landfall Stats'!A:G, 5, 0), "No LF")</f>
        <v>No LF</v>
      </c>
      <c r="I107" s="3" t="str">
        <f>_xlfn.IFNA(VLOOKUP(B107, '[1]Landfall Stats'!A:G, 6, 0), "No LF")</f>
        <v>No LF</v>
      </c>
      <c r="J107" s="4" t="s">
        <v>170</v>
      </c>
      <c r="K107" s="3">
        <v>0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12.75" customHeight="1" x14ac:dyDescent="0.2">
      <c r="A108" s="3">
        <v>1975</v>
      </c>
      <c r="B108" s="3" t="s">
        <v>172</v>
      </c>
      <c r="C108" s="3" t="str">
        <f>VLOOKUP($B108, '[1]HURDAT Query'!$A$1:$F$1030, 3, 0)</f>
        <v>DORIS</v>
      </c>
      <c r="D108" s="3">
        <f>VLOOKUP($B108, '[1]HURDAT Query'!$A$1:$F$1030, 4, 0)</f>
        <v>2</v>
      </c>
      <c r="E108" s="3">
        <f>VLOOKUP($B108, '[1]HURDAT Query'!$A$1:$F$1030, 5, 0)</f>
        <v>95</v>
      </c>
      <c r="F108" s="3">
        <f>VLOOKUP($B108, '[1]HURDAT Query'!$A$1:$F$1030, 6, 0)</f>
        <v>965</v>
      </c>
      <c r="G108" s="3" t="str">
        <f>_xlfn.IFNA(VLOOKUP(B108, '[1]Landfall Stats'!A:G, 7, 0), "No LF")</f>
        <v>No LF</v>
      </c>
      <c r="H108" s="3" t="str">
        <f>_xlfn.IFNA(VLOOKUP(B108, '[1]Landfall Stats'!A:G, 5, 0), "No LF")</f>
        <v>No LF</v>
      </c>
      <c r="I108" s="3" t="str">
        <f>_xlfn.IFNA(VLOOKUP(B108, '[1]Landfall Stats'!A:G, 6, 0), "No LF")</f>
        <v>No LF</v>
      </c>
      <c r="J108" s="4" t="s">
        <v>170</v>
      </c>
      <c r="K108" s="3">
        <v>0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5" customHeight="1" x14ac:dyDescent="0.2">
      <c r="A109" s="3">
        <v>1975</v>
      </c>
      <c r="B109" s="3" t="s">
        <v>173</v>
      </c>
      <c r="C109" s="3" t="str">
        <f>VLOOKUP($B109, '[1]HURDAT Query'!$A$1:$F$1030, 3, 0)</f>
        <v>ELOISE</v>
      </c>
      <c r="D109" s="3">
        <f>VLOOKUP($B109, '[1]HURDAT Query'!$A$1:$F$1030, 4, 0)</f>
        <v>3</v>
      </c>
      <c r="E109" s="3">
        <f>VLOOKUP($B109, '[1]HURDAT Query'!$A$1:$F$1030, 5, 0)</f>
        <v>110</v>
      </c>
      <c r="F109" s="3">
        <f>VLOOKUP($B109, '[1]HURDAT Query'!$A$1:$F$1030, 6, 0)</f>
        <v>955</v>
      </c>
      <c r="G109" s="3">
        <f>_xlfn.IFNA(VLOOKUP(B109, '[1]Landfall Stats'!A:G, 7, 0), "No LF")</f>
        <v>3</v>
      </c>
      <c r="H109" s="3">
        <f>_xlfn.IFNA(VLOOKUP(B109, '[1]Landfall Stats'!A:G, 5, 0), "No LF")</f>
        <v>110</v>
      </c>
      <c r="I109" s="3">
        <f>_xlfn.IFNA(VLOOKUP(B109, '[1]Landfall Stats'!A:G, 6, 0), "No LF")</f>
        <v>955</v>
      </c>
      <c r="J109" s="8" t="s">
        <v>170</v>
      </c>
      <c r="K109" s="3">
        <v>21</v>
      </c>
      <c r="L109" s="3"/>
      <c r="M109" s="3"/>
      <c r="N109" s="3"/>
      <c r="O109" s="3"/>
      <c r="P109" s="3"/>
      <c r="Q109" s="3"/>
      <c r="R109" s="3"/>
      <c r="S109" s="3"/>
      <c r="T109" s="3">
        <v>17</v>
      </c>
      <c r="U109" s="3" t="s">
        <v>42</v>
      </c>
      <c r="V109" s="3"/>
      <c r="W109" s="3"/>
      <c r="X109" s="3"/>
      <c r="Y109" s="3"/>
      <c r="Z109" s="3"/>
      <c r="AA109" s="3"/>
      <c r="AB109" s="3"/>
      <c r="AC109" s="3"/>
      <c r="AD109" s="3">
        <v>4</v>
      </c>
      <c r="AE109" s="3" t="s">
        <v>42</v>
      </c>
    </row>
    <row r="110" spans="1:31" ht="12.75" customHeight="1" x14ac:dyDescent="0.2">
      <c r="A110" s="3">
        <v>1975</v>
      </c>
      <c r="B110" s="3" t="s">
        <v>174</v>
      </c>
      <c r="C110" s="3" t="str">
        <f>VLOOKUP($B110, '[1]HURDAT Query'!$A$1:$F$1030, 3, 0)</f>
        <v>FAYE</v>
      </c>
      <c r="D110" s="3">
        <f>VLOOKUP($B110, '[1]HURDAT Query'!$A$1:$F$1030, 4, 0)</f>
        <v>2</v>
      </c>
      <c r="E110" s="3">
        <f>VLOOKUP($B110, '[1]HURDAT Query'!$A$1:$F$1030, 5, 0)</f>
        <v>90</v>
      </c>
      <c r="F110" s="3">
        <f>VLOOKUP($B110, '[1]HURDAT Query'!$A$1:$F$1030, 6, 0)</f>
        <v>977</v>
      </c>
      <c r="G110" s="3" t="str">
        <f>_xlfn.IFNA(VLOOKUP(B110, '[1]Landfall Stats'!A:G, 7, 0), "No LF")</f>
        <v>No LF</v>
      </c>
      <c r="H110" s="3" t="str">
        <f>_xlfn.IFNA(VLOOKUP(B110, '[1]Landfall Stats'!A:G, 5, 0), "No LF")</f>
        <v>No LF</v>
      </c>
      <c r="I110" s="3" t="str">
        <f>_xlfn.IFNA(VLOOKUP(B110, '[1]Landfall Stats'!A:G, 6, 0), "No LF")</f>
        <v>No LF</v>
      </c>
      <c r="J110" s="4" t="s">
        <v>170</v>
      </c>
      <c r="K110" s="3">
        <v>0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2.75" customHeight="1" x14ac:dyDescent="0.2">
      <c r="A111" s="3">
        <v>1975</v>
      </c>
      <c r="B111" s="3" t="s">
        <v>175</v>
      </c>
      <c r="C111" s="3" t="str">
        <f>VLOOKUP($B111, '[1]HURDAT Query'!$A$1:$F$1030, 3, 0)</f>
        <v>GLADYS</v>
      </c>
      <c r="D111" s="3">
        <f>VLOOKUP($B111, '[1]HURDAT Query'!$A$1:$F$1030, 4, 0)</f>
        <v>4</v>
      </c>
      <c r="E111" s="3">
        <f>VLOOKUP($B111, '[1]HURDAT Query'!$A$1:$F$1030, 5, 0)</f>
        <v>120</v>
      </c>
      <c r="F111" s="3">
        <f>VLOOKUP($B111, '[1]HURDAT Query'!$A$1:$F$1030, 6, 0)</f>
        <v>939</v>
      </c>
      <c r="G111" s="3" t="str">
        <f>_xlfn.IFNA(VLOOKUP(B111, '[1]Landfall Stats'!A:G, 7, 0), "No LF")</f>
        <v>No LF</v>
      </c>
      <c r="H111" s="3" t="str">
        <f>_xlfn.IFNA(VLOOKUP(B111, '[1]Landfall Stats'!A:G, 5, 0), "No LF")</f>
        <v>No LF</v>
      </c>
      <c r="I111" s="3" t="str">
        <f>_xlfn.IFNA(VLOOKUP(B111, '[1]Landfall Stats'!A:G, 6, 0), "No LF")</f>
        <v>No LF</v>
      </c>
      <c r="J111" s="4" t="s">
        <v>170</v>
      </c>
      <c r="K111" s="3">
        <v>0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2.75" customHeight="1" x14ac:dyDescent="0.2">
      <c r="A112" s="3">
        <v>1975</v>
      </c>
      <c r="B112" s="3" t="s">
        <v>176</v>
      </c>
      <c r="C112" s="3" t="str">
        <f>VLOOKUP($B112, '[1]HURDAT Query'!$A$1:$F$1030, 3, 0)</f>
        <v>HALLIE</v>
      </c>
      <c r="D112" s="3" t="str">
        <f>VLOOKUP($B112, '[1]HURDAT Query'!$A$1:$F$1030, 4, 0)</f>
        <v>NA</v>
      </c>
      <c r="E112" s="3" t="str">
        <f>VLOOKUP($B112, '[1]HURDAT Query'!$A$1:$F$1030, 5, 0)</f>
        <v>NA</v>
      </c>
      <c r="F112" s="3" t="str">
        <f>VLOOKUP($B112, '[1]HURDAT Query'!$A$1:$F$1030, 6, 0)</f>
        <v>NA</v>
      </c>
      <c r="G112" s="3" t="str">
        <f>_xlfn.IFNA(VLOOKUP(B112, '[1]Landfall Stats'!A:G, 7, 0), "No LF")</f>
        <v>No LF</v>
      </c>
      <c r="H112" s="3" t="str">
        <f>_xlfn.IFNA(VLOOKUP(B112, '[1]Landfall Stats'!A:G, 5, 0), "No LF")</f>
        <v>No LF</v>
      </c>
      <c r="I112" s="3" t="str">
        <f>_xlfn.IFNA(VLOOKUP(B112, '[1]Landfall Stats'!A:G, 6, 0), "No LF")</f>
        <v>No LF</v>
      </c>
      <c r="J112" s="4" t="s">
        <v>170</v>
      </c>
      <c r="K112" s="3">
        <v>0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12.75" customHeight="1" x14ac:dyDescent="0.2">
      <c r="A113" s="3">
        <v>1976</v>
      </c>
      <c r="B113" s="3" t="s">
        <v>177</v>
      </c>
      <c r="C113" s="3" t="str">
        <f>VLOOKUP($B113, '[1]HURDAT Query'!$A$1:$F$1030, 3, 0)</f>
        <v>ANNA</v>
      </c>
      <c r="D113" s="3" t="str">
        <f>VLOOKUP($B113, '[1]HURDAT Query'!$A$1:$F$1030, 4, 0)</f>
        <v>NA</v>
      </c>
      <c r="E113" s="3" t="str">
        <f>VLOOKUP($B113, '[1]HURDAT Query'!$A$1:$F$1030, 5, 0)</f>
        <v>NA</v>
      </c>
      <c r="F113" s="3" t="str">
        <f>VLOOKUP($B113, '[1]HURDAT Query'!$A$1:$F$1030, 6, 0)</f>
        <v>NA</v>
      </c>
      <c r="G113" s="3" t="str">
        <f>_xlfn.IFNA(VLOOKUP(B113, '[1]Landfall Stats'!A:G, 7, 0), "No LF")</f>
        <v>No LF</v>
      </c>
      <c r="H113" s="3" t="str">
        <f>_xlfn.IFNA(VLOOKUP(B113, '[1]Landfall Stats'!A:G, 5, 0), "No LF")</f>
        <v>No LF</v>
      </c>
      <c r="I113" s="3" t="str">
        <f>_xlfn.IFNA(VLOOKUP(B113, '[1]Landfall Stats'!A:G, 6, 0), "No LF")</f>
        <v>No LF</v>
      </c>
      <c r="J113" s="4" t="s">
        <v>178</v>
      </c>
      <c r="K113" s="3">
        <v>0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12.75" customHeight="1" x14ac:dyDescent="0.2">
      <c r="A114" s="3">
        <v>1976</v>
      </c>
      <c r="B114" s="3" t="s">
        <v>179</v>
      </c>
      <c r="C114" s="3" t="str">
        <f>VLOOKUP($B114, '[1]HURDAT Query'!$A$1:$F$1030, 3, 0)</f>
        <v>BELLE</v>
      </c>
      <c r="D114" s="3">
        <f>VLOOKUP($B114, '[1]HURDAT Query'!$A$1:$F$1030, 4, 0)</f>
        <v>3</v>
      </c>
      <c r="E114" s="3">
        <f>VLOOKUP($B114, '[1]HURDAT Query'!$A$1:$F$1030, 5, 0)</f>
        <v>105</v>
      </c>
      <c r="F114" s="3">
        <f>VLOOKUP($B114, '[1]HURDAT Query'!$A$1:$F$1030, 6, 0)</f>
        <v>957</v>
      </c>
      <c r="G114" s="3">
        <f>_xlfn.IFNA(VLOOKUP(B114, '[1]Landfall Stats'!A:G, 7, 0), "No LF")</f>
        <v>1</v>
      </c>
      <c r="H114" s="3">
        <f>_xlfn.IFNA(VLOOKUP(B114, '[1]Landfall Stats'!A:G, 5, 0), "No LF")</f>
        <v>80</v>
      </c>
      <c r="I114" s="3">
        <f>_xlfn.IFNA(VLOOKUP(B114, '[1]Landfall Stats'!A:G, 6, 0), "No LF")</f>
        <v>977</v>
      </c>
      <c r="J114" s="4" t="s">
        <v>180</v>
      </c>
      <c r="K114" s="3">
        <v>3</v>
      </c>
      <c r="L114" s="3"/>
      <c r="M114" s="3"/>
      <c r="N114" s="3"/>
      <c r="O114" s="3"/>
      <c r="P114" s="3"/>
      <c r="Q114" s="3"/>
      <c r="R114" s="3"/>
      <c r="S114" s="3"/>
      <c r="T114" s="3">
        <v>2</v>
      </c>
      <c r="U114" s="3" t="s">
        <v>181</v>
      </c>
      <c r="V114" s="3"/>
      <c r="W114" s="3"/>
      <c r="X114" s="3">
        <v>1</v>
      </c>
      <c r="Y114" s="3" t="s">
        <v>182</v>
      </c>
      <c r="Z114" s="3"/>
      <c r="AA114" s="3"/>
      <c r="AB114" s="3"/>
      <c r="AC114" s="3"/>
      <c r="AD114" s="3"/>
      <c r="AE114" s="3"/>
    </row>
    <row r="115" spans="1:31" ht="12.75" customHeight="1" x14ac:dyDescent="0.2">
      <c r="A115" s="3">
        <v>1976</v>
      </c>
      <c r="B115" s="3" t="s">
        <v>183</v>
      </c>
      <c r="C115" s="3" t="str">
        <f>VLOOKUP($B115, '[1]HURDAT Query'!$A$1:$F$1030, 3, 0)</f>
        <v>DOTTIE</v>
      </c>
      <c r="D115" s="3" t="str">
        <f>VLOOKUP($B115, '[1]HURDAT Query'!$A$1:$F$1030, 4, 0)</f>
        <v>NA</v>
      </c>
      <c r="E115" s="3" t="str">
        <f>VLOOKUP($B115, '[1]HURDAT Query'!$A$1:$F$1030, 5, 0)</f>
        <v>NA</v>
      </c>
      <c r="F115" s="3" t="str">
        <f>VLOOKUP($B115, '[1]HURDAT Query'!$A$1:$F$1030, 6, 0)</f>
        <v>NA</v>
      </c>
      <c r="G115" s="3" t="str">
        <f>_xlfn.IFNA(VLOOKUP(B115, '[1]Landfall Stats'!A:G, 7, 0), "No LF")</f>
        <v>NA</v>
      </c>
      <c r="H115" s="3">
        <f>_xlfn.IFNA(VLOOKUP(B115, '[1]Landfall Stats'!A:G, 5, 0), "No LF")</f>
        <v>35</v>
      </c>
      <c r="I115" s="3">
        <f>_xlfn.IFNA(VLOOKUP(B115, '[1]Landfall Stats'!A:G, 6, 0), "No LF")</f>
        <v>1005</v>
      </c>
      <c r="J115" s="4" t="s">
        <v>180</v>
      </c>
      <c r="K115" s="3">
        <v>0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2.75" customHeight="1" x14ac:dyDescent="0.2">
      <c r="A116" s="3">
        <v>1976</v>
      </c>
      <c r="B116" s="3" t="s">
        <v>184</v>
      </c>
      <c r="C116" s="3" t="str">
        <f>VLOOKUP($B116, '[1]HURDAT Query'!$A$1:$F$1030, 3, 0)</f>
        <v>CANDICE</v>
      </c>
      <c r="D116" s="3">
        <f>VLOOKUP($B116, '[1]HURDAT Query'!$A$1:$F$1030, 4, 0)</f>
        <v>1</v>
      </c>
      <c r="E116" s="3">
        <f>VLOOKUP($B116, '[1]HURDAT Query'!$A$1:$F$1030, 5, 0)</f>
        <v>80</v>
      </c>
      <c r="F116" s="3">
        <f>VLOOKUP($B116, '[1]HURDAT Query'!$A$1:$F$1030, 6, 0)</f>
        <v>964</v>
      </c>
      <c r="G116" s="3" t="str">
        <f>_xlfn.IFNA(VLOOKUP(B116, '[1]Landfall Stats'!A:G, 7, 0), "No LF")</f>
        <v>No LF</v>
      </c>
      <c r="H116" s="3" t="str">
        <f>_xlfn.IFNA(VLOOKUP(B116, '[1]Landfall Stats'!A:G, 5, 0), "No LF")</f>
        <v>No LF</v>
      </c>
      <c r="I116" s="3" t="str">
        <f>_xlfn.IFNA(VLOOKUP(B116, '[1]Landfall Stats'!A:G, 6, 0), "No LF")</f>
        <v>No LF</v>
      </c>
      <c r="J116" s="4" t="s">
        <v>180</v>
      </c>
      <c r="K116" s="3">
        <v>0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2.75" customHeight="1" x14ac:dyDescent="0.2">
      <c r="A117" s="3">
        <v>1976</v>
      </c>
      <c r="B117" s="3" t="s">
        <v>185</v>
      </c>
      <c r="C117" s="3" t="str">
        <f>VLOOKUP($B117, '[1]HURDAT Query'!$A$1:$F$1030, 3, 0)</f>
        <v>EMMY</v>
      </c>
      <c r="D117" s="3">
        <f>VLOOKUP($B117, '[1]HURDAT Query'!$A$1:$F$1030, 4, 0)</f>
        <v>2</v>
      </c>
      <c r="E117" s="3">
        <f>VLOOKUP($B117, '[1]HURDAT Query'!$A$1:$F$1030, 5, 0)</f>
        <v>90</v>
      </c>
      <c r="F117" s="3">
        <f>VLOOKUP($B117, '[1]HURDAT Query'!$A$1:$F$1030, 6, 0)</f>
        <v>974</v>
      </c>
      <c r="G117" s="3" t="str">
        <f>_xlfn.IFNA(VLOOKUP(B117, '[1]Landfall Stats'!A:G, 7, 0), "No LF")</f>
        <v>No LF</v>
      </c>
      <c r="H117" s="3" t="str">
        <f>_xlfn.IFNA(VLOOKUP(B117, '[1]Landfall Stats'!A:G, 5, 0), "No LF")</f>
        <v>No LF</v>
      </c>
      <c r="I117" s="3" t="str">
        <f>_xlfn.IFNA(VLOOKUP(B117, '[1]Landfall Stats'!A:G, 6, 0), "No LF")</f>
        <v>No LF</v>
      </c>
      <c r="J117" s="4" t="s">
        <v>180</v>
      </c>
      <c r="K117" s="3">
        <v>0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12.75" customHeight="1" x14ac:dyDescent="0.2">
      <c r="A118" s="3">
        <v>1976</v>
      </c>
      <c r="B118" s="3" t="s">
        <v>186</v>
      </c>
      <c r="C118" s="3" t="str">
        <f>VLOOKUP($B118, '[1]HURDAT Query'!$A$1:$F$1030, 3, 0)</f>
        <v>FRANCES</v>
      </c>
      <c r="D118" s="3">
        <f>VLOOKUP($B118, '[1]HURDAT Query'!$A$1:$F$1030, 4, 0)</f>
        <v>3</v>
      </c>
      <c r="E118" s="3">
        <f>VLOOKUP($B118, '[1]HURDAT Query'!$A$1:$F$1030, 5, 0)</f>
        <v>100</v>
      </c>
      <c r="F118" s="3">
        <f>VLOOKUP($B118, '[1]HURDAT Query'!$A$1:$F$1030, 6, 0)</f>
        <v>963</v>
      </c>
      <c r="G118" s="3" t="str">
        <f>_xlfn.IFNA(VLOOKUP(B118, '[1]Landfall Stats'!A:G, 7, 0), "No LF")</f>
        <v>No LF</v>
      </c>
      <c r="H118" s="3" t="str">
        <f>_xlfn.IFNA(VLOOKUP(B118, '[1]Landfall Stats'!A:G, 5, 0), "No LF")</f>
        <v>No LF</v>
      </c>
      <c r="I118" s="3" t="str">
        <f>_xlfn.IFNA(VLOOKUP(B118, '[1]Landfall Stats'!A:G, 6, 0), "No LF")</f>
        <v>No LF</v>
      </c>
      <c r="J118" s="4" t="s">
        <v>180</v>
      </c>
      <c r="K118" s="3">
        <v>0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2.75" customHeight="1" x14ac:dyDescent="0.2">
      <c r="A119" s="3">
        <v>1976</v>
      </c>
      <c r="B119" s="3" t="s">
        <v>187</v>
      </c>
      <c r="C119" s="3" t="str">
        <f>VLOOKUP($B119, '[1]HURDAT Query'!$A$1:$F$1030, 3, 0)</f>
        <v>GLORIA</v>
      </c>
      <c r="D119" s="3">
        <f>VLOOKUP($B119, '[1]HURDAT Query'!$A$1:$F$1030, 4, 0)</f>
        <v>2</v>
      </c>
      <c r="E119" s="3">
        <f>VLOOKUP($B119, '[1]HURDAT Query'!$A$1:$F$1030, 5, 0)</f>
        <v>90</v>
      </c>
      <c r="F119" s="3">
        <f>VLOOKUP($B119, '[1]HURDAT Query'!$A$1:$F$1030, 6, 0)</f>
        <v>970</v>
      </c>
      <c r="G119" s="3" t="str">
        <f>_xlfn.IFNA(VLOOKUP(B119, '[1]Landfall Stats'!A:G, 7, 0), "No LF")</f>
        <v>No LF</v>
      </c>
      <c r="H119" s="3" t="str">
        <f>_xlfn.IFNA(VLOOKUP(B119, '[1]Landfall Stats'!A:G, 5, 0), "No LF")</f>
        <v>No LF</v>
      </c>
      <c r="I119" s="3" t="str">
        <f>_xlfn.IFNA(VLOOKUP(B119, '[1]Landfall Stats'!A:G, 6, 0), "No LF")</f>
        <v>No LF</v>
      </c>
      <c r="J119" s="4" t="s">
        <v>180</v>
      </c>
      <c r="K119" s="3">
        <v>0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2.75" customHeight="1" x14ac:dyDescent="0.2">
      <c r="A120" s="3">
        <v>1976</v>
      </c>
      <c r="B120" s="3" t="s">
        <v>188</v>
      </c>
      <c r="C120" s="3" t="str">
        <f>VLOOKUP($B120, '[1]HURDAT Query'!$A$1:$F$1030, 3, 0)</f>
        <v>HOLLY</v>
      </c>
      <c r="D120" s="3">
        <f>VLOOKUP($B120, '[1]HURDAT Query'!$A$1:$F$1030, 4, 0)</f>
        <v>1</v>
      </c>
      <c r="E120" s="3">
        <f>VLOOKUP($B120, '[1]HURDAT Query'!$A$1:$F$1030, 5, 0)</f>
        <v>65</v>
      </c>
      <c r="F120" s="3">
        <f>VLOOKUP($B120, '[1]HURDAT Query'!$A$1:$F$1030, 6, 0)</f>
        <v>990</v>
      </c>
      <c r="G120" s="3" t="str">
        <f>_xlfn.IFNA(VLOOKUP(B120, '[1]Landfall Stats'!A:G, 7, 0), "No LF")</f>
        <v>No LF</v>
      </c>
      <c r="H120" s="3" t="str">
        <f>_xlfn.IFNA(VLOOKUP(B120, '[1]Landfall Stats'!A:G, 5, 0), "No LF")</f>
        <v>No LF</v>
      </c>
      <c r="I120" s="3" t="str">
        <f>_xlfn.IFNA(VLOOKUP(B120, '[1]Landfall Stats'!A:G, 6, 0), "No LF")</f>
        <v>No LF</v>
      </c>
      <c r="J120" s="4" t="s">
        <v>180</v>
      </c>
      <c r="K120" s="3">
        <v>0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12.75" customHeight="1" x14ac:dyDescent="0.2">
      <c r="A121" s="3">
        <v>1977</v>
      </c>
      <c r="B121" s="3" t="s">
        <v>189</v>
      </c>
      <c r="C121" s="3" t="str">
        <f>VLOOKUP($B121, '[1]HURDAT Query'!$A$1:$F$1030, 3, 0)</f>
        <v>ANITA</v>
      </c>
      <c r="D121" s="3">
        <f>VLOOKUP($B121, '[1]HURDAT Query'!$A$1:$F$1030, 4, 0)</f>
        <v>5</v>
      </c>
      <c r="E121" s="3">
        <f>VLOOKUP($B121, '[1]HURDAT Query'!$A$1:$F$1030, 5, 0)</f>
        <v>150</v>
      </c>
      <c r="F121" s="3">
        <f>VLOOKUP($B121, '[1]HURDAT Query'!$A$1:$F$1030, 6, 0)</f>
        <v>926</v>
      </c>
      <c r="G121" s="3" t="str">
        <f>_xlfn.IFNA(VLOOKUP(B121, '[1]Landfall Stats'!A:G, 7, 0), "No LF")</f>
        <v>No LF</v>
      </c>
      <c r="H121" s="3" t="str">
        <f>_xlfn.IFNA(VLOOKUP(B121, '[1]Landfall Stats'!A:G, 5, 0), "No LF")</f>
        <v>No LF</v>
      </c>
      <c r="I121" s="3" t="str">
        <f>_xlfn.IFNA(VLOOKUP(B121, '[1]Landfall Stats'!A:G, 6, 0), "No LF")</f>
        <v>No LF</v>
      </c>
      <c r="J121" s="4" t="s">
        <v>190</v>
      </c>
      <c r="K121" s="3">
        <v>0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12.75" customHeight="1" x14ac:dyDescent="0.2">
      <c r="A122" s="3">
        <v>1977</v>
      </c>
      <c r="B122" s="3" t="s">
        <v>191</v>
      </c>
      <c r="C122" s="3" t="str">
        <f>VLOOKUP($B122, '[1]HURDAT Query'!$A$1:$F$1030, 3, 0)</f>
        <v>BABE</v>
      </c>
      <c r="D122" s="3">
        <f>VLOOKUP($B122, '[1]HURDAT Query'!$A$1:$F$1030, 4, 0)</f>
        <v>1</v>
      </c>
      <c r="E122" s="3">
        <f>VLOOKUP($B122, '[1]HURDAT Query'!$A$1:$F$1030, 5, 0)</f>
        <v>65</v>
      </c>
      <c r="F122" s="3">
        <f>VLOOKUP($B122, '[1]HURDAT Query'!$A$1:$F$1030, 6, 0)</f>
        <v>995</v>
      </c>
      <c r="G122" s="3">
        <f>_xlfn.IFNA(VLOOKUP(B122, '[1]Landfall Stats'!A:G, 7, 0), "No LF")</f>
        <v>1</v>
      </c>
      <c r="H122" s="3">
        <f>_xlfn.IFNA(VLOOKUP(B122, '[1]Landfall Stats'!A:G, 5, 0), "No LF")</f>
        <v>65</v>
      </c>
      <c r="I122" s="3">
        <f>_xlfn.IFNA(VLOOKUP(B122, '[1]Landfall Stats'!A:G, 6, 0), "No LF")</f>
        <v>995</v>
      </c>
      <c r="J122" s="4" t="s">
        <v>190</v>
      </c>
      <c r="K122" s="3">
        <v>0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12.75" customHeight="1" x14ac:dyDescent="0.2">
      <c r="A123" s="3">
        <v>1977</v>
      </c>
      <c r="B123" s="3" t="s">
        <v>192</v>
      </c>
      <c r="C123" s="3" t="str">
        <f>VLOOKUP($B123, '[1]HURDAT Query'!$A$1:$F$1030, 3, 0)</f>
        <v>CLARA</v>
      </c>
      <c r="D123" s="3">
        <f>VLOOKUP($B123, '[1]HURDAT Query'!$A$1:$F$1030, 4, 0)</f>
        <v>1</v>
      </c>
      <c r="E123" s="3">
        <f>VLOOKUP($B123, '[1]HURDAT Query'!$A$1:$F$1030, 5, 0)</f>
        <v>65</v>
      </c>
      <c r="F123" s="3">
        <f>VLOOKUP($B123, '[1]HURDAT Query'!$A$1:$F$1030, 6, 0)</f>
        <v>993</v>
      </c>
      <c r="G123" s="3" t="str">
        <f>_xlfn.IFNA(VLOOKUP(B123, '[1]Landfall Stats'!A:G, 7, 0), "No LF")</f>
        <v>No LF</v>
      </c>
      <c r="H123" s="3" t="str">
        <f>_xlfn.IFNA(VLOOKUP(B123, '[1]Landfall Stats'!A:G, 5, 0), "No LF")</f>
        <v>No LF</v>
      </c>
      <c r="I123" s="3" t="str">
        <f>_xlfn.IFNA(VLOOKUP(B123, '[1]Landfall Stats'!A:G, 6, 0), "No LF")</f>
        <v>No LF</v>
      </c>
      <c r="J123" s="4" t="s">
        <v>190</v>
      </c>
      <c r="K123" s="3">
        <v>0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ht="12.75" customHeight="1" x14ac:dyDescent="0.2">
      <c r="A124" s="3">
        <v>1977</v>
      </c>
      <c r="B124" s="3" t="s">
        <v>193</v>
      </c>
      <c r="C124" s="3" t="str">
        <f>VLOOKUP($B124, '[1]HURDAT Query'!$A$1:$F$1030, 3, 0)</f>
        <v>DOROTHY</v>
      </c>
      <c r="D124" s="3">
        <f>VLOOKUP($B124, '[1]HURDAT Query'!$A$1:$F$1030, 4, 0)</f>
        <v>1</v>
      </c>
      <c r="E124" s="3">
        <f>VLOOKUP($B124, '[1]HURDAT Query'!$A$1:$F$1030, 5, 0)</f>
        <v>75</v>
      </c>
      <c r="F124" s="3">
        <f>VLOOKUP($B124, '[1]HURDAT Query'!$A$1:$F$1030, 6, 0)</f>
        <v>980</v>
      </c>
      <c r="G124" s="3" t="str">
        <f>_xlfn.IFNA(VLOOKUP(B124, '[1]Landfall Stats'!A:G, 7, 0), "No LF")</f>
        <v>No LF</v>
      </c>
      <c r="H124" s="3" t="str">
        <f>_xlfn.IFNA(VLOOKUP(B124, '[1]Landfall Stats'!A:G, 5, 0), "No LF")</f>
        <v>No LF</v>
      </c>
      <c r="I124" s="3" t="str">
        <f>_xlfn.IFNA(VLOOKUP(B124, '[1]Landfall Stats'!A:G, 6, 0), "No LF")</f>
        <v>No LF</v>
      </c>
      <c r="J124" s="4" t="s">
        <v>190</v>
      </c>
      <c r="K124" s="3">
        <v>0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ht="12.75" customHeight="1" x14ac:dyDescent="0.2">
      <c r="A125" s="3">
        <v>1977</v>
      </c>
      <c r="B125" s="3" t="s">
        <v>194</v>
      </c>
      <c r="C125" s="3" t="str">
        <f>VLOOKUP($B125, '[1]HURDAT Query'!$A$1:$F$1030, 3, 0)</f>
        <v>EVELYN</v>
      </c>
      <c r="D125" s="3">
        <f>VLOOKUP($B125, '[1]HURDAT Query'!$A$1:$F$1030, 4, 0)</f>
        <v>1</v>
      </c>
      <c r="E125" s="3">
        <f>VLOOKUP($B125, '[1]HURDAT Query'!$A$1:$F$1030, 5, 0)</f>
        <v>70</v>
      </c>
      <c r="F125" s="3">
        <f>VLOOKUP($B125, '[1]HURDAT Query'!$A$1:$F$1030, 6, 0)</f>
        <v>994</v>
      </c>
      <c r="G125" s="3" t="str">
        <f>_xlfn.IFNA(VLOOKUP(B125, '[1]Landfall Stats'!A:G, 7, 0), "No LF")</f>
        <v>No LF</v>
      </c>
      <c r="H125" s="3" t="str">
        <f>_xlfn.IFNA(VLOOKUP(B125, '[1]Landfall Stats'!A:G, 5, 0), "No LF")</f>
        <v>No LF</v>
      </c>
      <c r="I125" s="3" t="str">
        <f>_xlfn.IFNA(VLOOKUP(B125, '[1]Landfall Stats'!A:G, 6, 0), "No LF")</f>
        <v>No LF</v>
      </c>
      <c r="J125" s="4" t="s">
        <v>190</v>
      </c>
      <c r="K125" s="3">
        <v>0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ht="12.75" customHeight="1" x14ac:dyDescent="0.2">
      <c r="A126" s="3">
        <v>1977</v>
      </c>
      <c r="B126" s="3" t="s">
        <v>195</v>
      </c>
      <c r="C126" s="3" t="str">
        <f>VLOOKUP($B126, '[1]HURDAT Query'!$A$1:$F$1030, 3, 0)</f>
        <v>FRIEDA</v>
      </c>
      <c r="D126" s="3" t="str">
        <f>VLOOKUP($B126, '[1]HURDAT Query'!$A$1:$F$1030, 4, 0)</f>
        <v>NA</v>
      </c>
      <c r="E126" s="3" t="str">
        <f>VLOOKUP($B126, '[1]HURDAT Query'!$A$1:$F$1030, 5, 0)</f>
        <v>NA</v>
      </c>
      <c r="F126" s="3" t="str">
        <f>VLOOKUP($B126, '[1]HURDAT Query'!$A$1:$F$1030, 6, 0)</f>
        <v>NA</v>
      </c>
      <c r="G126" s="3" t="str">
        <f>_xlfn.IFNA(VLOOKUP(B126, '[1]Landfall Stats'!A:G, 7, 0), "No LF")</f>
        <v>No LF</v>
      </c>
      <c r="H126" s="3" t="str">
        <f>_xlfn.IFNA(VLOOKUP(B126, '[1]Landfall Stats'!A:G, 5, 0), "No LF")</f>
        <v>No LF</v>
      </c>
      <c r="I126" s="3" t="str">
        <f>_xlfn.IFNA(VLOOKUP(B126, '[1]Landfall Stats'!A:G, 6, 0), "No LF")</f>
        <v>No LF</v>
      </c>
      <c r="J126" s="4" t="s">
        <v>196</v>
      </c>
      <c r="K126" s="3">
        <v>0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ht="12.75" customHeight="1" x14ac:dyDescent="0.2">
      <c r="A127" s="3">
        <v>1978</v>
      </c>
      <c r="B127" s="3" t="s">
        <v>197</v>
      </c>
      <c r="C127" s="3" t="str">
        <f>VLOOKUP($B127, '[1]HURDAT Query'!$A$1:$F$1030, 3, 0)</f>
        <v>AMELIA</v>
      </c>
      <c r="D127" s="3" t="str">
        <f>VLOOKUP($B127, '[1]HURDAT Query'!$A$1:$F$1030, 4, 0)</f>
        <v>NA</v>
      </c>
      <c r="E127" s="3" t="str">
        <f>VLOOKUP($B127, '[1]HURDAT Query'!$A$1:$F$1030, 5, 0)</f>
        <v>NA</v>
      </c>
      <c r="F127" s="3" t="str">
        <f>VLOOKUP($B127, '[1]HURDAT Query'!$A$1:$F$1030, 6, 0)</f>
        <v>NA</v>
      </c>
      <c r="G127" s="3" t="str">
        <f>_xlfn.IFNA(VLOOKUP(B127, '[1]Landfall Stats'!A:G, 7, 0), "No LF")</f>
        <v>NA</v>
      </c>
      <c r="H127" s="3">
        <f>_xlfn.IFNA(VLOOKUP(B127, '[1]Landfall Stats'!A:G, 5, 0), "No LF")</f>
        <v>30</v>
      </c>
      <c r="I127" s="3">
        <f>_xlfn.IFNA(VLOOKUP(B127, '[1]Landfall Stats'!A:G, 6, 0), "No LF")</f>
        <v>1006</v>
      </c>
      <c r="J127" s="4" t="s">
        <v>198</v>
      </c>
      <c r="K127" s="3">
        <v>33</v>
      </c>
      <c r="L127" s="3"/>
      <c r="M127" s="3"/>
      <c r="N127" s="3"/>
      <c r="O127" s="3"/>
      <c r="P127" s="3"/>
      <c r="Q127" s="3"/>
      <c r="R127" s="3"/>
      <c r="S127" s="3"/>
      <c r="T127" s="3">
        <v>33</v>
      </c>
      <c r="U127" s="3" t="s">
        <v>38</v>
      </c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ht="12.75" customHeight="1" x14ac:dyDescent="0.2">
      <c r="A128" s="3">
        <v>1978</v>
      </c>
      <c r="B128" s="3" t="s">
        <v>199</v>
      </c>
      <c r="C128" s="3" t="str">
        <f>VLOOKUP($B128, '[1]HURDAT Query'!$A$1:$F$1030, 3, 0)</f>
        <v>BESS</v>
      </c>
      <c r="D128" s="3" t="str">
        <f>VLOOKUP($B128, '[1]HURDAT Query'!$A$1:$F$1030, 4, 0)</f>
        <v>NA</v>
      </c>
      <c r="E128" s="3" t="str">
        <f>VLOOKUP($B128, '[1]HURDAT Query'!$A$1:$F$1030, 5, 0)</f>
        <v>NA</v>
      </c>
      <c r="F128" s="3" t="str">
        <f>VLOOKUP($B128, '[1]HURDAT Query'!$A$1:$F$1030, 6, 0)</f>
        <v>NA</v>
      </c>
      <c r="G128" s="3" t="str">
        <f>_xlfn.IFNA(VLOOKUP(B128, '[1]Landfall Stats'!A:G, 7, 0), "No LF")</f>
        <v>No LF</v>
      </c>
      <c r="H128" s="3" t="str">
        <f>_xlfn.IFNA(VLOOKUP(B128, '[1]Landfall Stats'!A:G, 5, 0), "No LF")</f>
        <v>No LF</v>
      </c>
      <c r="I128" s="3" t="str">
        <f>_xlfn.IFNA(VLOOKUP(B128, '[1]Landfall Stats'!A:G, 6, 0), "No LF")</f>
        <v>No LF</v>
      </c>
      <c r="J128" s="4" t="s">
        <v>200</v>
      </c>
      <c r="K128" s="3">
        <v>0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2.75" customHeight="1" x14ac:dyDescent="0.2">
      <c r="A129" s="3">
        <v>1978</v>
      </c>
      <c r="B129" s="3" t="s">
        <v>201</v>
      </c>
      <c r="C129" s="3" t="str">
        <f>VLOOKUP($B129, '[1]HURDAT Query'!$A$1:$F$1030, 3, 0)</f>
        <v>CORA</v>
      </c>
      <c r="D129" s="3">
        <f>VLOOKUP($B129, '[1]HURDAT Query'!$A$1:$F$1030, 4, 0)</f>
        <v>1</v>
      </c>
      <c r="E129" s="3">
        <f>VLOOKUP($B129, '[1]HURDAT Query'!$A$1:$F$1030, 5, 0)</f>
        <v>80</v>
      </c>
      <c r="F129" s="3">
        <f>VLOOKUP($B129, '[1]HURDAT Query'!$A$1:$F$1030, 6, 0)</f>
        <v>980</v>
      </c>
      <c r="G129" s="3" t="str">
        <f>_xlfn.IFNA(VLOOKUP(B129, '[1]Landfall Stats'!A:G, 7, 0), "No LF")</f>
        <v>No LF</v>
      </c>
      <c r="H129" s="3" t="str">
        <f>_xlfn.IFNA(VLOOKUP(B129, '[1]Landfall Stats'!A:G, 5, 0), "No LF")</f>
        <v>No LF</v>
      </c>
      <c r="I129" s="3" t="str">
        <f>_xlfn.IFNA(VLOOKUP(B129, '[1]Landfall Stats'!A:G, 6, 0), "No LF")</f>
        <v>No LF</v>
      </c>
      <c r="J129" s="4" t="s">
        <v>200</v>
      </c>
      <c r="K129" s="3">
        <v>0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2.75" customHeight="1" x14ac:dyDescent="0.2">
      <c r="A130" s="3">
        <v>1978</v>
      </c>
      <c r="B130" s="3" t="s">
        <v>202</v>
      </c>
      <c r="C130" s="3" t="str">
        <f>VLOOKUP($B130, '[1]HURDAT Query'!$A$1:$F$1030, 3, 0)</f>
        <v>DEBRA</v>
      </c>
      <c r="D130" s="3" t="str">
        <f>VLOOKUP($B130, '[1]HURDAT Query'!$A$1:$F$1030, 4, 0)</f>
        <v>NA</v>
      </c>
      <c r="E130" s="3" t="str">
        <f>VLOOKUP($B130, '[1]HURDAT Query'!$A$1:$F$1030, 5, 0)</f>
        <v>NA</v>
      </c>
      <c r="F130" s="3" t="str">
        <f>VLOOKUP($B130, '[1]HURDAT Query'!$A$1:$F$1030, 6, 0)</f>
        <v>NA</v>
      </c>
      <c r="G130" s="3" t="str">
        <f>_xlfn.IFNA(VLOOKUP(B130, '[1]Landfall Stats'!A:G, 7, 0), "No LF")</f>
        <v>NA</v>
      </c>
      <c r="H130" s="3">
        <f>_xlfn.IFNA(VLOOKUP(B130, '[1]Landfall Stats'!A:G, 5, 0), "No LF")</f>
        <v>50</v>
      </c>
      <c r="I130" s="3">
        <f>_xlfn.IFNA(VLOOKUP(B130, '[1]Landfall Stats'!A:G, 6, 0), "No LF")</f>
        <v>1000</v>
      </c>
      <c r="J130" s="4" t="s">
        <v>200</v>
      </c>
      <c r="K130" s="3">
        <v>2</v>
      </c>
      <c r="L130" s="3"/>
      <c r="M130" s="3"/>
      <c r="N130" s="3"/>
      <c r="O130" s="3"/>
      <c r="P130" s="3">
        <v>1</v>
      </c>
      <c r="Q130" s="3" t="s">
        <v>103</v>
      </c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 t="s">
        <v>103</v>
      </c>
      <c r="AB130" s="3"/>
      <c r="AC130" s="3"/>
      <c r="AD130" s="3"/>
      <c r="AE130" s="3"/>
    </row>
    <row r="131" spans="1:31" ht="12.75" customHeight="1" x14ac:dyDescent="0.2">
      <c r="A131" s="3">
        <v>1978</v>
      </c>
      <c r="B131" s="3" t="s">
        <v>203</v>
      </c>
      <c r="C131" s="3" t="str">
        <f>VLOOKUP($B131, '[1]HURDAT Query'!$A$1:$F$1030, 3, 0)</f>
        <v>ELLA</v>
      </c>
      <c r="D131" s="3">
        <f>VLOOKUP($B131, '[1]HURDAT Query'!$A$1:$F$1030, 4, 0)</f>
        <v>4</v>
      </c>
      <c r="E131" s="3">
        <f>VLOOKUP($B131, '[1]HURDAT Query'!$A$1:$F$1030, 5, 0)</f>
        <v>120</v>
      </c>
      <c r="F131" s="3">
        <f>VLOOKUP($B131, '[1]HURDAT Query'!$A$1:$F$1030, 6, 0)</f>
        <v>956</v>
      </c>
      <c r="G131" s="3" t="str">
        <f>_xlfn.IFNA(VLOOKUP(B131, '[1]Landfall Stats'!A:G, 7, 0), "No LF")</f>
        <v>No LF</v>
      </c>
      <c r="H131" s="3" t="str">
        <f>_xlfn.IFNA(VLOOKUP(B131, '[1]Landfall Stats'!A:G, 5, 0), "No LF")</f>
        <v>No LF</v>
      </c>
      <c r="I131" s="3" t="str">
        <f>_xlfn.IFNA(VLOOKUP(B131, '[1]Landfall Stats'!A:G, 6, 0), "No LF")</f>
        <v>No LF</v>
      </c>
      <c r="J131" s="4" t="s">
        <v>200</v>
      </c>
      <c r="K131" s="3">
        <v>0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2.75" customHeight="1" x14ac:dyDescent="0.2">
      <c r="A132" s="3">
        <v>1978</v>
      </c>
      <c r="B132" s="3" t="s">
        <v>204</v>
      </c>
      <c r="C132" s="3" t="str">
        <f>VLOOKUP($B132, '[1]HURDAT Query'!$A$1:$F$1030, 3, 0)</f>
        <v>FLOSSIE</v>
      </c>
      <c r="D132" s="3">
        <f>VLOOKUP($B132, '[1]HURDAT Query'!$A$1:$F$1030, 4, 0)</f>
        <v>2</v>
      </c>
      <c r="E132" s="3">
        <f>VLOOKUP($B132, '[1]HURDAT Query'!$A$1:$F$1030, 5, 0)</f>
        <v>85</v>
      </c>
      <c r="F132" s="3">
        <f>VLOOKUP($B132, '[1]HURDAT Query'!$A$1:$F$1030, 6, 0)</f>
        <v>976</v>
      </c>
      <c r="G132" s="3" t="str">
        <f>_xlfn.IFNA(VLOOKUP(B132, '[1]Landfall Stats'!A:G, 7, 0), "No LF")</f>
        <v>No LF</v>
      </c>
      <c r="H132" s="3" t="str">
        <f>_xlfn.IFNA(VLOOKUP(B132, '[1]Landfall Stats'!A:G, 5, 0), "No LF")</f>
        <v>No LF</v>
      </c>
      <c r="I132" s="3" t="str">
        <f>_xlfn.IFNA(VLOOKUP(B132, '[1]Landfall Stats'!A:G, 6, 0), "No LF")</f>
        <v>No LF</v>
      </c>
      <c r="J132" s="4" t="s">
        <v>200</v>
      </c>
      <c r="K132" s="3">
        <v>0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2.75" customHeight="1" x14ac:dyDescent="0.2">
      <c r="A133" s="3">
        <v>1978</v>
      </c>
      <c r="B133" s="3" t="s">
        <v>205</v>
      </c>
      <c r="C133" s="3" t="str">
        <f>VLOOKUP($B133, '[1]HURDAT Query'!$A$1:$F$1030, 3, 0)</f>
        <v>HOPE</v>
      </c>
      <c r="D133" s="3" t="str">
        <f>VLOOKUP($B133, '[1]HURDAT Query'!$A$1:$F$1030, 4, 0)</f>
        <v>NA</v>
      </c>
      <c r="E133" s="3" t="str">
        <f>VLOOKUP($B133, '[1]HURDAT Query'!$A$1:$F$1030, 5, 0)</f>
        <v>NA</v>
      </c>
      <c r="F133" s="3" t="str">
        <f>VLOOKUP($B133, '[1]HURDAT Query'!$A$1:$F$1030, 6, 0)</f>
        <v>NA</v>
      </c>
      <c r="G133" s="3" t="str">
        <f>_xlfn.IFNA(VLOOKUP(B133, '[1]Landfall Stats'!A:G, 7, 0), "No LF")</f>
        <v>No LF</v>
      </c>
      <c r="H133" s="3" t="str">
        <f>_xlfn.IFNA(VLOOKUP(B133, '[1]Landfall Stats'!A:G, 5, 0), "No LF")</f>
        <v>No LF</v>
      </c>
      <c r="I133" s="3" t="str">
        <f>_xlfn.IFNA(VLOOKUP(B133, '[1]Landfall Stats'!A:G, 6, 0), "No LF")</f>
        <v>No LF</v>
      </c>
      <c r="J133" s="4" t="s">
        <v>200</v>
      </c>
      <c r="K133" s="3">
        <v>0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2.75" customHeight="1" x14ac:dyDescent="0.2">
      <c r="A134" s="3">
        <v>1978</v>
      </c>
      <c r="B134" s="3" t="s">
        <v>206</v>
      </c>
      <c r="C134" s="3" t="str">
        <f>VLOOKUP($B134, '[1]HURDAT Query'!$A$1:$F$1030, 3, 0)</f>
        <v>GRETA</v>
      </c>
      <c r="D134" s="3">
        <f>VLOOKUP($B134, '[1]HURDAT Query'!$A$1:$F$1030, 4, 0)</f>
        <v>4</v>
      </c>
      <c r="E134" s="3">
        <f>VLOOKUP($B134, '[1]HURDAT Query'!$A$1:$F$1030, 5, 0)</f>
        <v>115</v>
      </c>
      <c r="F134" s="3">
        <f>VLOOKUP($B134, '[1]HURDAT Query'!$A$1:$F$1030, 6, 0)</f>
        <v>947</v>
      </c>
      <c r="G134" s="3" t="str">
        <f>_xlfn.IFNA(VLOOKUP(B134, '[1]Landfall Stats'!A:G, 7, 0), "No LF")</f>
        <v>No LF</v>
      </c>
      <c r="H134" s="3" t="str">
        <f>_xlfn.IFNA(VLOOKUP(B134, '[1]Landfall Stats'!A:G, 5, 0), "No LF")</f>
        <v>No LF</v>
      </c>
      <c r="I134" s="3" t="str">
        <f>_xlfn.IFNA(VLOOKUP(B134, '[1]Landfall Stats'!A:G, 6, 0), "No LF")</f>
        <v>No LF</v>
      </c>
      <c r="J134" s="4" t="s">
        <v>200</v>
      </c>
      <c r="K134" s="3">
        <v>0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2.75" customHeight="1" x14ac:dyDescent="0.2">
      <c r="A135" s="3">
        <v>1978</v>
      </c>
      <c r="B135" s="3" t="s">
        <v>207</v>
      </c>
      <c r="C135" s="3" t="str">
        <f>VLOOKUP($B135, '[1]HURDAT Query'!$A$1:$F$1030, 3, 0)</f>
        <v>IRMA</v>
      </c>
      <c r="D135" s="3" t="str">
        <f>VLOOKUP($B135, '[1]HURDAT Query'!$A$1:$F$1030, 4, 0)</f>
        <v>NA</v>
      </c>
      <c r="E135" s="3" t="str">
        <f>VLOOKUP($B135, '[1]HURDAT Query'!$A$1:$F$1030, 5, 0)</f>
        <v>NA</v>
      </c>
      <c r="F135" s="3" t="str">
        <f>VLOOKUP($B135, '[1]HURDAT Query'!$A$1:$F$1030, 6, 0)</f>
        <v>NA</v>
      </c>
      <c r="G135" s="3" t="str">
        <f>_xlfn.IFNA(VLOOKUP(B135, '[1]Landfall Stats'!A:G, 7, 0), "No LF")</f>
        <v>No LF</v>
      </c>
      <c r="H135" s="3" t="str">
        <f>_xlfn.IFNA(VLOOKUP(B135, '[1]Landfall Stats'!A:G, 5, 0), "No LF")</f>
        <v>No LF</v>
      </c>
      <c r="I135" s="3" t="str">
        <f>_xlfn.IFNA(VLOOKUP(B135, '[1]Landfall Stats'!A:G, 6, 0), "No LF")</f>
        <v>No LF</v>
      </c>
      <c r="J135" s="4" t="s">
        <v>200</v>
      </c>
      <c r="K135" s="3">
        <v>0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ht="12.75" customHeight="1" x14ac:dyDescent="0.2">
      <c r="A136" s="3">
        <v>1978</v>
      </c>
      <c r="B136" s="3" t="s">
        <v>208</v>
      </c>
      <c r="C136" s="3" t="str">
        <f>VLOOKUP($B136, '[1]HURDAT Query'!$A$1:$F$1030, 3, 0)</f>
        <v>JULIET</v>
      </c>
      <c r="D136" s="3" t="str">
        <f>VLOOKUP($B136, '[1]HURDAT Query'!$A$1:$F$1030, 4, 0)</f>
        <v>NA</v>
      </c>
      <c r="E136" s="3" t="str">
        <f>VLOOKUP($B136, '[1]HURDAT Query'!$A$1:$F$1030, 5, 0)</f>
        <v>NA</v>
      </c>
      <c r="F136" s="3" t="str">
        <f>VLOOKUP($B136, '[1]HURDAT Query'!$A$1:$F$1030, 6, 0)</f>
        <v>NA</v>
      </c>
      <c r="G136" s="3" t="str">
        <f>_xlfn.IFNA(VLOOKUP(B136, '[1]Landfall Stats'!A:G, 7, 0), "No LF")</f>
        <v>No LF</v>
      </c>
      <c r="H136" s="3" t="str">
        <f>_xlfn.IFNA(VLOOKUP(B136, '[1]Landfall Stats'!A:G, 5, 0), "No LF")</f>
        <v>No LF</v>
      </c>
      <c r="I136" s="3" t="str">
        <f>_xlfn.IFNA(VLOOKUP(B136, '[1]Landfall Stats'!A:G, 6, 0), "No LF")</f>
        <v>No LF</v>
      </c>
      <c r="J136" s="4" t="s">
        <v>200</v>
      </c>
      <c r="K136" s="3">
        <v>0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12.75" customHeight="1" x14ac:dyDescent="0.2">
      <c r="A137" s="3">
        <v>1978</v>
      </c>
      <c r="B137" s="3" t="s">
        <v>209</v>
      </c>
      <c r="C137" s="3" t="str">
        <f>VLOOKUP($B137, '[1]HURDAT Query'!$A$1:$F$1030, 3, 0)</f>
        <v>KENDRA</v>
      </c>
      <c r="D137" s="3">
        <f>VLOOKUP($B137, '[1]HURDAT Query'!$A$1:$F$1030, 4, 0)</f>
        <v>1</v>
      </c>
      <c r="E137" s="3">
        <f>VLOOKUP($B137, '[1]HURDAT Query'!$A$1:$F$1030, 5, 0)</f>
        <v>70</v>
      </c>
      <c r="F137" s="3">
        <f>VLOOKUP($B137, '[1]HURDAT Query'!$A$1:$F$1030, 6, 0)</f>
        <v>990</v>
      </c>
      <c r="G137" s="3" t="str">
        <f>_xlfn.IFNA(VLOOKUP(B137, '[1]Landfall Stats'!A:G, 7, 0), "No LF")</f>
        <v>No LF</v>
      </c>
      <c r="H137" s="3" t="str">
        <f>_xlfn.IFNA(VLOOKUP(B137, '[1]Landfall Stats'!A:G, 5, 0), "No LF")</f>
        <v>No LF</v>
      </c>
      <c r="I137" s="3" t="str">
        <f>_xlfn.IFNA(VLOOKUP(B137, '[1]Landfall Stats'!A:G, 6, 0), "No LF")</f>
        <v>No LF</v>
      </c>
      <c r="J137" s="4" t="s">
        <v>200</v>
      </c>
      <c r="K137" s="3">
        <v>0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ht="12.75" customHeight="1" x14ac:dyDescent="0.2">
      <c r="A138" s="3">
        <v>1979</v>
      </c>
      <c r="B138" s="3" t="s">
        <v>210</v>
      </c>
      <c r="C138" s="3" t="str">
        <f>VLOOKUP($B138, '[1]HURDAT Query'!$A$1:$F$1030, 3, 0)</f>
        <v>ANA</v>
      </c>
      <c r="D138" s="3" t="str">
        <f>VLOOKUP($B138, '[1]HURDAT Query'!$A$1:$F$1030, 4, 0)</f>
        <v>NA</v>
      </c>
      <c r="E138" s="3" t="str">
        <f>VLOOKUP($B138, '[1]HURDAT Query'!$A$1:$F$1030, 5, 0)</f>
        <v>NA</v>
      </c>
      <c r="F138" s="3" t="str">
        <f>VLOOKUP($B138, '[1]HURDAT Query'!$A$1:$F$1030, 6, 0)</f>
        <v>NA</v>
      </c>
      <c r="G138" s="3" t="str">
        <f>_xlfn.IFNA(VLOOKUP(B138, '[1]Landfall Stats'!A:G, 7, 0), "No LF")</f>
        <v>No LF</v>
      </c>
      <c r="H138" s="3" t="str">
        <f>_xlfn.IFNA(VLOOKUP(B138, '[1]Landfall Stats'!A:G, 5, 0), "No LF")</f>
        <v>No LF</v>
      </c>
      <c r="I138" s="3" t="str">
        <f>_xlfn.IFNA(VLOOKUP(B138, '[1]Landfall Stats'!A:G, 6, 0), "No LF")</f>
        <v>No LF</v>
      </c>
      <c r="J138" s="4" t="s">
        <v>211</v>
      </c>
      <c r="K138" s="3">
        <v>0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12.75" customHeight="1" x14ac:dyDescent="0.2">
      <c r="A139" s="3">
        <v>1979</v>
      </c>
      <c r="B139" s="3" t="s">
        <v>212</v>
      </c>
      <c r="C139" s="3" t="str">
        <f>VLOOKUP($B139, '[1]HURDAT Query'!$A$1:$F$1030, 3, 0)</f>
        <v>BOB</v>
      </c>
      <c r="D139" s="3">
        <f>VLOOKUP($B139, '[1]HURDAT Query'!$A$1:$F$1030, 4, 0)</f>
        <v>1</v>
      </c>
      <c r="E139" s="3">
        <f>VLOOKUP($B139, '[1]HURDAT Query'!$A$1:$F$1030, 5, 0)</f>
        <v>65</v>
      </c>
      <c r="F139" s="3">
        <f>VLOOKUP($B139, '[1]HURDAT Query'!$A$1:$F$1030, 6, 0)</f>
        <v>986</v>
      </c>
      <c r="G139" s="3">
        <f>_xlfn.IFNA(VLOOKUP(B139, '[1]Landfall Stats'!A:G, 7, 0), "No LF")</f>
        <v>1</v>
      </c>
      <c r="H139" s="3">
        <f>_xlfn.IFNA(VLOOKUP(B139, '[1]Landfall Stats'!A:G, 5, 0), "No LF")</f>
        <v>65</v>
      </c>
      <c r="I139" s="3">
        <f>_xlfn.IFNA(VLOOKUP(B139, '[1]Landfall Stats'!A:G, 6, 0), "No LF")</f>
        <v>991</v>
      </c>
      <c r="J139" s="4" t="s">
        <v>213</v>
      </c>
      <c r="K139" s="3">
        <v>1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>
        <v>1</v>
      </c>
      <c r="AE139" s="3" t="s">
        <v>37</v>
      </c>
    </row>
    <row r="140" spans="1:31" ht="12.75" customHeight="1" x14ac:dyDescent="0.2">
      <c r="A140" s="3">
        <v>1979</v>
      </c>
      <c r="B140" s="3" t="s">
        <v>214</v>
      </c>
      <c r="C140" s="3" t="str">
        <f>VLOOKUP($B140, '[1]HURDAT Query'!$A$1:$F$1030, 3, 0)</f>
        <v>CLAUDETTE</v>
      </c>
      <c r="D140" s="3" t="str">
        <f>VLOOKUP($B140, '[1]HURDAT Query'!$A$1:$F$1030, 4, 0)</f>
        <v>NA</v>
      </c>
      <c r="E140" s="3" t="str">
        <f>VLOOKUP($B140, '[1]HURDAT Query'!$A$1:$F$1030, 5, 0)</f>
        <v>NA</v>
      </c>
      <c r="F140" s="3" t="str">
        <f>VLOOKUP($B140, '[1]HURDAT Query'!$A$1:$F$1030, 6, 0)</f>
        <v>NA</v>
      </c>
      <c r="G140" s="3" t="str">
        <f>_xlfn.IFNA(VLOOKUP(B140, '[1]Landfall Stats'!A:G, 7, 0), "No LF")</f>
        <v>NA</v>
      </c>
      <c r="H140" s="3">
        <f>_xlfn.IFNA(VLOOKUP(B140, '[1]Landfall Stats'!A:G, 5, 0), "No LF")</f>
        <v>45</v>
      </c>
      <c r="I140" s="3">
        <f>_xlfn.IFNA(VLOOKUP(B140, '[1]Landfall Stats'!A:G, 6, 0), "No LF")</f>
        <v>1000</v>
      </c>
      <c r="J140" s="4" t="s">
        <v>213</v>
      </c>
      <c r="K140" s="3">
        <v>1</v>
      </c>
      <c r="L140" s="3"/>
      <c r="M140" s="3"/>
      <c r="N140" s="3"/>
      <c r="O140" s="3"/>
      <c r="P140" s="3"/>
      <c r="Q140" s="3"/>
      <c r="R140" s="3"/>
      <c r="S140" s="3"/>
      <c r="T140" s="3">
        <v>1</v>
      </c>
      <c r="U140" s="3" t="s">
        <v>38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2.75" customHeight="1" x14ac:dyDescent="0.2">
      <c r="A141" s="3">
        <v>1979</v>
      </c>
      <c r="B141" s="3" t="s">
        <v>215</v>
      </c>
      <c r="C141" s="3" t="str">
        <f>VLOOKUP($B141, '[1]HURDAT Query'!$A$1:$F$1030, 3, 0)</f>
        <v>DAVID</v>
      </c>
      <c r="D141" s="3">
        <f>VLOOKUP($B141, '[1]HURDAT Query'!$A$1:$F$1030, 4, 0)</f>
        <v>5</v>
      </c>
      <c r="E141" s="3">
        <f>VLOOKUP($B141, '[1]HURDAT Query'!$A$1:$F$1030, 5, 0)</f>
        <v>150</v>
      </c>
      <c r="F141" s="3">
        <f>VLOOKUP($B141, '[1]HURDAT Query'!$A$1:$F$1030, 6, 0)</f>
        <v>924</v>
      </c>
      <c r="G141" s="3">
        <f>_xlfn.IFNA(VLOOKUP(B141, '[1]Landfall Stats'!A:G, 7, 0), "No LF")</f>
        <v>2</v>
      </c>
      <c r="H141" s="3">
        <f>_xlfn.IFNA(VLOOKUP(B141, '[1]Landfall Stats'!A:G, 5, 0), "No LF")</f>
        <v>85</v>
      </c>
      <c r="I141" s="3">
        <f>_xlfn.IFNA(VLOOKUP(B141, '[1]Landfall Stats'!A:G, 6, 0), "No LF")</f>
        <v>970</v>
      </c>
      <c r="J141" s="4" t="s">
        <v>211</v>
      </c>
      <c r="K141" s="3">
        <v>5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>
        <v>5</v>
      </c>
      <c r="AE141" s="3" t="s">
        <v>42</v>
      </c>
    </row>
    <row r="142" spans="1:31" ht="12.75" customHeight="1" x14ac:dyDescent="0.2">
      <c r="A142" s="3">
        <v>1979</v>
      </c>
      <c r="B142" s="3" t="s">
        <v>216</v>
      </c>
      <c r="C142" s="3" t="str">
        <f>VLOOKUP($B142, '[1]HURDAT Query'!$A$1:$F$1030, 3, 0)</f>
        <v>FREDERIC</v>
      </c>
      <c r="D142" s="3">
        <f>VLOOKUP($B142, '[1]HURDAT Query'!$A$1:$F$1030, 4, 0)</f>
        <v>4</v>
      </c>
      <c r="E142" s="3">
        <f>VLOOKUP($B142, '[1]HURDAT Query'!$A$1:$F$1030, 5, 0)</f>
        <v>115</v>
      </c>
      <c r="F142" s="3">
        <f>VLOOKUP($B142, '[1]HURDAT Query'!$A$1:$F$1030, 6, 0)</f>
        <v>943</v>
      </c>
      <c r="G142" s="3">
        <f>_xlfn.IFNA(VLOOKUP(B142, '[1]Landfall Stats'!A:G, 7, 0), "No LF")</f>
        <v>4</v>
      </c>
      <c r="H142" s="3">
        <f>_xlfn.IFNA(VLOOKUP(B142, '[1]Landfall Stats'!A:G, 5, 0), "No LF")</f>
        <v>115</v>
      </c>
      <c r="I142" s="3">
        <f>_xlfn.IFNA(VLOOKUP(B142, '[1]Landfall Stats'!A:G, 6, 0), "No LF")</f>
        <v>946</v>
      </c>
      <c r="J142" s="4" t="s">
        <v>211</v>
      </c>
      <c r="K142" s="3">
        <v>5</v>
      </c>
      <c r="L142" s="3"/>
      <c r="M142" s="3"/>
      <c r="N142" s="3"/>
      <c r="O142" s="3"/>
      <c r="P142" s="3">
        <v>1</v>
      </c>
      <c r="Q142" s="3" t="s">
        <v>42</v>
      </c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>
        <v>4</v>
      </c>
      <c r="AE142" s="3" t="s">
        <v>42</v>
      </c>
    </row>
    <row r="143" spans="1:31" ht="12.75" customHeight="1" x14ac:dyDescent="0.2">
      <c r="A143" s="3">
        <v>1979</v>
      </c>
      <c r="B143" s="3" t="s">
        <v>217</v>
      </c>
      <c r="C143" s="3" t="str">
        <f>VLOOKUP($B143, '[1]HURDAT Query'!$A$1:$F$1030, 3, 0)</f>
        <v>ELENA</v>
      </c>
      <c r="D143" s="3" t="str">
        <f>VLOOKUP($B143, '[1]HURDAT Query'!$A$1:$F$1030, 4, 0)</f>
        <v>NA</v>
      </c>
      <c r="E143" s="3" t="str">
        <f>VLOOKUP($B143, '[1]HURDAT Query'!$A$1:$F$1030, 5, 0)</f>
        <v>NA</v>
      </c>
      <c r="F143" s="3" t="str">
        <f>VLOOKUP($B143, '[1]HURDAT Query'!$A$1:$F$1030, 6, 0)</f>
        <v>NA</v>
      </c>
      <c r="G143" s="3" t="str">
        <f>_xlfn.IFNA(VLOOKUP(B143, '[1]Landfall Stats'!A:G, 7, 0), "No LF")</f>
        <v>NA</v>
      </c>
      <c r="H143" s="3">
        <f>_xlfn.IFNA(VLOOKUP(B143, '[1]Landfall Stats'!A:G, 5, 0), "No LF")</f>
        <v>35</v>
      </c>
      <c r="I143" s="3">
        <f>_xlfn.IFNA(VLOOKUP(B143, '[1]Landfall Stats'!A:G, 6, 0), "No LF")</f>
        <v>1008</v>
      </c>
      <c r="J143" s="4" t="s">
        <v>213</v>
      </c>
      <c r="K143" s="3">
        <v>5</v>
      </c>
      <c r="L143" s="3"/>
      <c r="M143" s="3"/>
      <c r="N143" s="3"/>
      <c r="O143" s="3"/>
      <c r="P143" s="3"/>
      <c r="Q143" s="3"/>
      <c r="R143" s="3"/>
      <c r="S143" s="3"/>
      <c r="T143" s="3">
        <v>2</v>
      </c>
      <c r="U143" s="3" t="s">
        <v>38</v>
      </c>
      <c r="V143" s="3"/>
      <c r="W143" s="3"/>
      <c r="X143" s="3"/>
      <c r="Y143" s="3"/>
      <c r="Z143" s="3"/>
      <c r="AA143" s="3"/>
      <c r="AD143" s="3">
        <v>3</v>
      </c>
      <c r="AE143" s="3" t="s">
        <v>38</v>
      </c>
    </row>
    <row r="144" spans="1:31" ht="12.75" customHeight="1" x14ac:dyDescent="0.2">
      <c r="A144" s="3">
        <v>1979</v>
      </c>
      <c r="B144" s="3" t="s">
        <v>218</v>
      </c>
      <c r="C144" s="3" t="str">
        <f>VLOOKUP($B144, '[1]HURDAT Query'!$A$1:$F$1030, 3, 0)</f>
        <v>GLORIA</v>
      </c>
      <c r="D144" s="3">
        <f>VLOOKUP($B144, '[1]HURDAT Query'!$A$1:$F$1030, 4, 0)</f>
        <v>2</v>
      </c>
      <c r="E144" s="3">
        <f>VLOOKUP($B144, '[1]HURDAT Query'!$A$1:$F$1030, 5, 0)</f>
        <v>85</v>
      </c>
      <c r="F144" s="3">
        <f>VLOOKUP($B144, '[1]HURDAT Query'!$A$1:$F$1030, 6, 0)</f>
        <v>975</v>
      </c>
      <c r="G144" s="3" t="str">
        <f>_xlfn.IFNA(VLOOKUP(B144, '[1]Landfall Stats'!A:G, 7, 0), "No LF")</f>
        <v>No LF</v>
      </c>
      <c r="H144" s="3" t="str">
        <f>_xlfn.IFNA(VLOOKUP(B144, '[1]Landfall Stats'!A:G, 5, 0), "No LF")</f>
        <v>No LF</v>
      </c>
      <c r="I144" s="3" t="str">
        <f>_xlfn.IFNA(VLOOKUP(B144, '[1]Landfall Stats'!A:G, 6, 0), "No LF")</f>
        <v>No LF</v>
      </c>
      <c r="J144" s="4" t="s">
        <v>213</v>
      </c>
      <c r="K144" s="3">
        <v>0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2.75" customHeight="1" x14ac:dyDescent="0.2">
      <c r="A145" s="3">
        <v>1979</v>
      </c>
      <c r="B145" s="3" t="s">
        <v>219</v>
      </c>
      <c r="C145" s="3" t="str">
        <f>VLOOKUP($B145, '[1]HURDAT Query'!$A$1:$F$1030, 3, 0)</f>
        <v>HENRI</v>
      </c>
      <c r="D145" s="3">
        <f>VLOOKUP($B145, '[1]HURDAT Query'!$A$1:$F$1030, 4, 0)</f>
        <v>1</v>
      </c>
      <c r="E145" s="3">
        <f>VLOOKUP($B145, '[1]HURDAT Query'!$A$1:$F$1030, 5, 0)</f>
        <v>75</v>
      </c>
      <c r="F145" s="3">
        <f>VLOOKUP($B145, '[1]HURDAT Query'!$A$1:$F$1030, 6, 0)</f>
        <v>983</v>
      </c>
      <c r="G145" s="3" t="str">
        <f>_xlfn.IFNA(VLOOKUP(B145, '[1]Landfall Stats'!A:G, 7, 0), "No LF")</f>
        <v>No LF</v>
      </c>
      <c r="H145" s="3" t="str">
        <f>_xlfn.IFNA(VLOOKUP(B145, '[1]Landfall Stats'!A:G, 5, 0), "No LF")</f>
        <v>No LF</v>
      </c>
      <c r="I145" s="3" t="str">
        <f>_xlfn.IFNA(VLOOKUP(B145, '[1]Landfall Stats'!A:G, 6, 0), "No LF")</f>
        <v>No LF</v>
      </c>
      <c r="J145" s="4" t="s">
        <v>213</v>
      </c>
      <c r="K145" s="3">
        <v>0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2.75" customHeight="1" x14ac:dyDescent="0.2">
      <c r="A146" s="3">
        <v>1980</v>
      </c>
      <c r="B146" s="3" t="s">
        <v>220</v>
      </c>
      <c r="C146" s="3" t="str">
        <f>VLOOKUP($B146, '[1]HURDAT Query'!$A$1:$F$1030, 3, 0)</f>
        <v>STORM 2</v>
      </c>
      <c r="D146" s="3" t="str">
        <f>VLOOKUP($B146, '[1]HURDAT Query'!$A$1:$F$1030, 4, 0)</f>
        <v>NA</v>
      </c>
      <c r="E146" s="3" t="str">
        <f>VLOOKUP($B146, '[1]HURDAT Query'!$A$1:$F$1030, 5, 0)</f>
        <v>NA</v>
      </c>
      <c r="F146" s="3" t="str">
        <f>VLOOKUP($B146, '[1]HURDAT Query'!$A$1:$F$1030, 6, 0)</f>
        <v>NA</v>
      </c>
      <c r="G146" s="3" t="str">
        <f>_xlfn.IFNA(VLOOKUP(B146, '[1]Landfall Stats'!A:G, 7, 0), "No LF")</f>
        <v>NA</v>
      </c>
      <c r="H146" s="3">
        <f>_xlfn.IFNA(VLOOKUP(B146, '[1]Landfall Stats'!A:G, 5, 0), "No LF")</f>
        <v>30</v>
      </c>
      <c r="I146" s="3" t="str">
        <f>_xlfn.IFNA(VLOOKUP(B146, '[1]Landfall Stats'!A:G, 6, 0), "No LF")</f>
        <v>NA</v>
      </c>
      <c r="J146" s="4" t="s">
        <v>221</v>
      </c>
      <c r="K146" s="3">
        <v>2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>
        <v>2</v>
      </c>
      <c r="AE146" s="3" t="s">
        <v>38</v>
      </c>
    </row>
    <row r="147" spans="1:31" ht="12.75" customHeight="1" x14ac:dyDescent="0.2">
      <c r="A147" s="3">
        <v>1980</v>
      </c>
      <c r="B147" s="3" t="s">
        <v>222</v>
      </c>
      <c r="C147" s="3" t="str">
        <f>VLOOKUP($B147, '[1]HURDAT Query'!$A$1:$F$1030, 3, 0)</f>
        <v>BONNIE</v>
      </c>
      <c r="D147" s="3">
        <f>VLOOKUP($B147, '[1]HURDAT Query'!$A$1:$F$1030, 4, 0)</f>
        <v>2</v>
      </c>
      <c r="E147" s="3">
        <f>VLOOKUP($B147, '[1]HURDAT Query'!$A$1:$F$1030, 5, 0)</f>
        <v>85</v>
      </c>
      <c r="F147" s="3">
        <f>VLOOKUP($B147, '[1]HURDAT Query'!$A$1:$F$1030, 6, 0)</f>
        <v>975</v>
      </c>
      <c r="G147" s="3" t="str">
        <f>_xlfn.IFNA(VLOOKUP(B147, '[1]Landfall Stats'!A:G, 7, 0), "No LF")</f>
        <v>No LF</v>
      </c>
      <c r="H147" s="3" t="str">
        <f>_xlfn.IFNA(VLOOKUP(B147, '[1]Landfall Stats'!A:G, 5, 0), "No LF")</f>
        <v>No LF</v>
      </c>
      <c r="I147" s="3" t="str">
        <f>_xlfn.IFNA(VLOOKUP(B147, '[1]Landfall Stats'!A:G, 6, 0), "No LF")</f>
        <v>No LF</v>
      </c>
      <c r="J147" s="4" t="s">
        <v>223</v>
      </c>
      <c r="K147" s="3">
        <v>0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2.75" customHeight="1" x14ac:dyDescent="0.2">
      <c r="A148" s="3">
        <v>1980</v>
      </c>
      <c r="B148" s="3" t="s">
        <v>224</v>
      </c>
      <c r="C148" s="3" t="str">
        <f>VLOOKUP($B148, '[1]HURDAT Query'!$A$1:$F$1030, 3, 0)</f>
        <v>CHARLEY</v>
      </c>
      <c r="D148" s="3">
        <f>VLOOKUP($B148, '[1]HURDAT Query'!$A$1:$F$1030, 4, 0)</f>
        <v>1</v>
      </c>
      <c r="E148" s="3">
        <f>VLOOKUP($B148, '[1]HURDAT Query'!$A$1:$F$1030, 5, 0)</f>
        <v>70</v>
      </c>
      <c r="F148" s="3">
        <f>VLOOKUP($B148, '[1]HURDAT Query'!$A$1:$F$1030, 6, 0)</f>
        <v>989</v>
      </c>
      <c r="G148" s="3" t="str">
        <f>_xlfn.IFNA(VLOOKUP(B148, '[1]Landfall Stats'!A:G, 7, 0), "No LF")</f>
        <v>No LF</v>
      </c>
      <c r="H148" s="3" t="str">
        <f>_xlfn.IFNA(VLOOKUP(B148, '[1]Landfall Stats'!A:G, 5, 0), "No LF")</f>
        <v>No LF</v>
      </c>
      <c r="I148" s="3" t="str">
        <f>_xlfn.IFNA(VLOOKUP(B148, '[1]Landfall Stats'!A:G, 6, 0), "No LF")</f>
        <v>No LF</v>
      </c>
      <c r="J148" s="4" t="s">
        <v>223</v>
      </c>
      <c r="K148" s="3">
        <v>0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2.75" customHeight="1" x14ac:dyDescent="0.2">
      <c r="A149" s="3">
        <v>1980</v>
      </c>
      <c r="B149" s="3" t="s">
        <v>225</v>
      </c>
      <c r="C149" s="3" t="str">
        <f>VLOOKUP($B149, '[1]HURDAT Query'!$A$1:$F$1030, 3, 0)</f>
        <v>GEORGES</v>
      </c>
      <c r="D149" s="3">
        <f>VLOOKUP($B149, '[1]HURDAT Query'!$A$1:$F$1030, 4, 0)</f>
        <v>1</v>
      </c>
      <c r="E149" s="3">
        <f>VLOOKUP($B149, '[1]HURDAT Query'!$A$1:$F$1030, 5, 0)</f>
        <v>70</v>
      </c>
      <c r="F149" s="3">
        <f>VLOOKUP($B149, '[1]HURDAT Query'!$A$1:$F$1030, 6, 0)</f>
        <v>993</v>
      </c>
      <c r="G149" s="3" t="str">
        <f>_xlfn.IFNA(VLOOKUP(B149, '[1]Landfall Stats'!A:G, 7, 0), "No LF")</f>
        <v>No LF</v>
      </c>
      <c r="H149" s="3" t="str">
        <f>_xlfn.IFNA(VLOOKUP(B149, '[1]Landfall Stats'!A:G, 5, 0), "No LF")</f>
        <v>No LF</v>
      </c>
      <c r="I149" s="3" t="str">
        <f>_xlfn.IFNA(VLOOKUP(B149, '[1]Landfall Stats'!A:G, 6, 0), "No LF")</f>
        <v>No LF</v>
      </c>
      <c r="J149" s="4" t="s">
        <v>223</v>
      </c>
      <c r="K149" s="3">
        <v>0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2.75" customHeight="1" x14ac:dyDescent="0.2">
      <c r="A150" s="3">
        <v>1980</v>
      </c>
      <c r="B150" s="3" t="s">
        <v>226</v>
      </c>
      <c r="C150" s="3" t="str">
        <f>VLOOKUP($B150, '[1]HURDAT Query'!$A$1:$F$1030, 3, 0)</f>
        <v>EARL</v>
      </c>
      <c r="D150" s="3">
        <f>VLOOKUP($B150, '[1]HURDAT Query'!$A$1:$F$1030, 4, 0)</f>
        <v>1</v>
      </c>
      <c r="E150" s="3">
        <f>VLOOKUP($B150, '[1]HURDAT Query'!$A$1:$F$1030, 5, 0)</f>
        <v>65</v>
      </c>
      <c r="F150" s="3">
        <f>VLOOKUP($B150, '[1]HURDAT Query'!$A$1:$F$1030, 6, 0)</f>
        <v>985</v>
      </c>
      <c r="G150" s="3" t="str">
        <f>_xlfn.IFNA(VLOOKUP(B150, '[1]Landfall Stats'!A:G, 7, 0), "No LF")</f>
        <v>No LF</v>
      </c>
      <c r="H150" s="3" t="str">
        <f>_xlfn.IFNA(VLOOKUP(B150, '[1]Landfall Stats'!A:G, 5, 0), "No LF")</f>
        <v>No LF</v>
      </c>
      <c r="I150" s="3" t="str">
        <f>_xlfn.IFNA(VLOOKUP(B150, '[1]Landfall Stats'!A:G, 6, 0), "No LF")</f>
        <v>No LF</v>
      </c>
      <c r="J150" s="4" t="s">
        <v>223</v>
      </c>
      <c r="K150" s="3">
        <v>0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12.75" customHeight="1" x14ac:dyDescent="0.2">
      <c r="A151" s="3">
        <v>1980</v>
      </c>
      <c r="B151" s="3" t="s">
        <v>227</v>
      </c>
      <c r="C151" s="3" t="str">
        <f>VLOOKUP($B151, '[1]HURDAT Query'!$A$1:$F$1030, 3, 0)</f>
        <v>DANIELLE</v>
      </c>
      <c r="D151" s="3" t="str">
        <f>VLOOKUP($B151, '[1]HURDAT Query'!$A$1:$F$1030, 4, 0)</f>
        <v>NA</v>
      </c>
      <c r="E151" s="3" t="str">
        <f>VLOOKUP($B151, '[1]HURDAT Query'!$A$1:$F$1030, 5, 0)</f>
        <v>NA</v>
      </c>
      <c r="F151" s="3" t="str">
        <f>VLOOKUP($B151, '[1]HURDAT Query'!$A$1:$F$1030, 6, 0)</f>
        <v>NA</v>
      </c>
      <c r="G151" s="3" t="str">
        <f>_xlfn.IFNA(VLOOKUP(B151, '[1]Landfall Stats'!A:G, 7, 0), "No LF")</f>
        <v>NA</v>
      </c>
      <c r="H151" s="3">
        <f>_xlfn.IFNA(VLOOKUP(B151, '[1]Landfall Stats'!A:G, 5, 0), "No LF")</f>
        <v>50</v>
      </c>
      <c r="I151" s="3">
        <f>_xlfn.IFNA(VLOOKUP(B151, '[1]Landfall Stats'!A:G, 6, 0), "No LF")</f>
        <v>1004</v>
      </c>
      <c r="J151" s="4" t="s">
        <v>223</v>
      </c>
      <c r="K151" s="3">
        <v>1</v>
      </c>
      <c r="L151" s="3"/>
      <c r="M151" s="3"/>
      <c r="N151" s="3"/>
      <c r="O151" s="3"/>
      <c r="P151" s="3"/>
      <c r="Q151" s="3"/>
      <c r="R151" s="3"/>
      <c r="S151" s="3"/>
      <c r="T151" s="3">
        <v>1</v>
      </c>
      <c r="U151" s="3" t="s">
        <v>38</v>
      </c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2.75" customHeight="1" x14ac:dyDescent="0.2">
      <c r="A152" s="3">
        <v>1980</v>
      </c>
      <c r="B152" s="3" t="s">
        <v>228</v>
      </c>
      <c r="C152" s="3" t="str">
        <f>VLOOKUP($B152, '[1]HURDAT Query'!$A$1:$F$1030, 3, 0)</f>
        <v>FRANCES</v>
      </c>
      <c r="D152" s="3">
        <f>VLOOKUP($B152, '[1]HURDAT Query'!$A$1:$F$1030, 4, 0)</f>
        <v>3</v>
      </c>
      <c r="E152" s="3">
        <f>VLOOKUP($B152, '[1]HURDAT Query'!$A$1:$F$1030, 5, 0)</f>
        <v>100</v>
      </c>
      <c r="F152" s="3">
        <f>VLOOKUP($B152, '[1]HURDAT Query'!$A$1:$F$1030, 6, 0)</f>
        <v>958</v>
      </c>
      <c r="G152" s="3" t="str">
        <f>_xlfn.IFNA(VLOOKUP(B152, '[1]Landfall Stats'!A:G, 7, 0), "No LF")</f>
        <v>No LF</v>
      </c>
      <c r="H152" s="3" t="str">
        <f>_xlfn.IFNA(VLOOKUP(B152, '[1]Landfall Stats'!A:G, 5, 0), "No LF")</f>
        <v>No LF</v>
      </c>
      <c r="I152" s="3" t="str">
        <f>_xlfn.IFNA(VLOOKUP(B152, '[1]Landfall Stats'!A:G, 6, 0), "No LF")</f>
        <v>No LF</v>
      </c>
      <c r="J152" s="4" t="s">
        <v>223</v>
      </c>
      <c r="K152" s="3">
        <v>0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2.75" customHeight="1" x14ac:dyDescent="0.2">
      <c r="A153" s="3">
        <v>1980</v>
      </c>
      <c r="B153" s="3" t="s">
        <v>229</v>
      </c>
      <c r="C153" s="3" t="str">
        <f>VLOOKUP($B153, '[1]HURDAT Query'!$A$1:$F$1030, 3, 0)</f>
        <v>HERMINE</v>
      </c>
      <c r="D153" s="3" t="str">
        <f>VLOOKUP($B153, '[1]HURDAT Query'!$A$1:$F$1030, 4, 0)</f>
        <v>NA</v>
      </c>
      <c r="E153" s="3" t="str">
        <f>VLOOKUP($B153, '[1]HURDAT Query'!$A$1:$F$1030, 5, 0)</f>
        <v>NA</v>
      </c>
      <c r="F153" s="3" t="str">
        <f>VLOOKUP($B153, '[1]HURDAT Query'!$A$1:$F$1030, 6, 0)</f>
        <v>NA</v>
      </c>
      <c r="G153" s="3" t="str">
        <f>_xlfn.IFNA(VLOOKUP(B153, '[1]Landfall Stats'!A:G, 7, 0), "No LF")</f>
        <v>No LF</v>
      </c>
      <c r="H153" s="3" t="str">
        <f>_xlfn.IFNA(VLOOKUP(B153, '[1]Landfall Stats'!A:G, 5, 0), "No LF")</f>
        <v>No LF</v>
      </c>
      <c r="I153" s="3" t="str">
        <f>_xlfn.IFNA(VLOOKUP(B153, '[1]Landfall Stats'!A:G, 6, 0), "No LF")</f>
        <v>No LF</v>
      </c>
      <c r="J153" s="4" t="s">
        <v>223</v>
      </c>
      <c r="K153" s="3">
        <v>0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2.75" customHeight="1" x14ac:dyDescent="0.2">
      <c r="A154" s="3">
        <v>1980</v>
      </c>
      <c r="B154" s="3" t="s">
        <v>230</v>
      </c>
      <c r="C154" s="3" t="str">
        <f>VLOOKUP($B154, '[1]HURDAT Query'!$A$1:$F$1030, 3, 0)</f>
        <v>IVAN</v>
      </c>
      <c r="D154" s="3">
        <f>VLOOKUP($B154, '[1]HURDAT Query'!$A$1:$F$1030, 4, 0)</f>
        <v>2</v>
      </c>
      <c r="E154" s="3">
        <f>VLOOKUP($B154, '[1]HURDAT Query'!$A$1:$F$1030, 5, 0)</f>
        <v>90</v>
      </c>
      <c r="F154" s="3">
        <f>VLOOKUP($B154, '[1]HURDAT Query'!$A$1:$F$1030, 6, 0)</f>
        <v>970</v>
      </c>
      <c r="G154" s="3" t="str">
        <f>_xlfn.IFNA(VLOOKUP(B154, '[1]Landfall Stats'!A:G, 7, 0), "No LF")</f>
        <v>No LF</v>
      </c>
      <c r="H154" s="3" t="str">
        <f>_xlfn.IFNA(VLOOKUP(B154, '[1]Landfall Stats'!A:G, 5, 0), "No LF")</f>
        <v>No LF</v>
      </c>
      <c r="I154" s="3" t="str">
        <f>_xlfn.IFNA(VLOOKUP(B154, '[1]Landfall Stats'!A:G, 6, 0), "No LF")</f>
        <v>No LF</v>
      </c>
      <c r="J154" s="4" t="s">
        <v>223</v>
      </c>
      <c r="K154" s="3">
        <v>0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2.75" customHeight="1" x14ac:dyDescent="0.2">
      <c r="A155" s="3">
        <v>1980</v>
      </c>
      <c r="B155" s="3" t="s">
        <v>231</v>
      </c>
      <c r="C155" s="3" t="str">
        <f>VLOOKUP($B155, '[1]HURDAT Query'!$A$1:$F$1030, 3, 0)</f>
        <v>JEANNE</v>
      </c>
      <c r="D155" s="3">
        <f>VLOOKUP($B155, '[1]HURDAT Query'!$A$1:$F$1030, 4, 0)</f>
        <v>2</v>
      </c>
      <c r="E155" s="3">
        <f>VLOOKUP($B155, '[1]HURDAT Query'!$A$1:$F$1030, 5, 0)</f>
        <v>85</v>
      </c>
      <c r="F155" s="3">
        <f>VLOOKUP($B155, '[1]HURDAT Query'!$A$1:$F$1030, 6, 0)</f>
        <v>986</v>
      </c>
      <c r="G155" s="3" t="str">
        <f>_xlfn.IFNA(VLOOKUP(B155, '[1]Landfall Stats'!A:G, 7, 0), "No LF")</f>
        <v>No LF</v>
      </c>
      <c r="H155" s="3" t="str">
        <f>_xlfn.IFNA(VLOOKUP(B155, '[1]Landfall Stats'!A:G, 5, 0), "No LF")</f>
        <v>No LF</v>
      </c>
      <c r="I155" s="3" t="str">
        <f>_xlfn.IFNA(VLOOKUP(B155, '[1]Landfall Stats'!A:G, 6, 0), "No LF")</f>
        <v>No LF</v>
      </c>
      <c r="J155" s="4" t="s">
        <v>223</v>
      </c>
      <c r="K155" s="3">
        <v>0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2.75" customHeight="1" x14ac:dyDescent="0.2">
      <c r="A156" s="3">
        <v>1980</v>
      </c>
      <c r="B156" s="3" t="s">
        <v>232</v>
      </c>
      <c r="C156" s="3" t="str">
        <f>VLOOKUP($B156, '[1]HURDAT Query'!$A$1:$F$1030, 3, 0)</f>
        <v>KARL</v>
      </c>
      <c r="D156" s="3">
        <f>VLOOKUP($B156, '[1]HURDAT Query'!$A$1:$F$1030, 4, 0)</f>
        <v>1</v>
      </c>
      <c r="E156" s="3">
        <f>VLOOKUP($B156, '[1]HURDAT Query'!$A$1:$F$1030, 5, 0)</f>
        <v>75</v>
      </c>
      <c r="F156" s="3">
        <f>VLOOKUP($B156, '[1]HURDAT Query'!$A$1:$F$1030, 6, 0)</f>
        <v>985</v>
      </c>
      <c r="G156" s="3" t="str">
        <f>_xlfn.IFNA(VLOOKUP(B156, '[1]Landfall Stats'!A:G, 7, 0), "No LF")</f>
        <v>No LF</v>
      </c>
      <c r="H156" s="3" t="str">
        <f>_xlfn.IFNA(VLOOKUP(B156, '[1]Landfall Stats'!A:G, 5, 0), "No LF")</f>
        <v>No LF</v>
      </c>
      <c r="I156" s="3" t="str">
        <f>_xlfn.IFNA(VLOOKUP(B156, '[1]Landfall Stats'!A:G, 6, 0), "No LF")</f>
        <v>No LF</v>
      </c>
      <c r="J156" s="4" t="s">
        <v>223</v>
      </c>
      <c r="K156" s="3">
        <v>0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2.75" customHeight="1" x14ac:dyDescent="0.2">
      <c r="A157" s="3">
        <v>1981</v>
      </c>
      <c r="B157" s="3" t="s">
        <v>233</v>
      </c>
      <c r="C157" s="3" t="str">
        <f>VLOOKUP($B157, '[1]HURDAT Query'!$A$1:$F$1030, 3, 0)</f>
        <v>ARLENE</v>
      </c>
      <c r="D157" s="3" t="str">
        <f>VLOOKUP($B157, '[1]HURDAT Query'!$A$1:$F$1030, 4, 0)</f>
        <v>NA</v>
      </c>
      <c r="E157" s="3" t="str">
        <f>VLOOKUP($B157, '[1]HURDAT Query'!$A$1:$F$1030, 5, 0)</f>
        <v>NA</v>
      </c>
      <c r="F157" s="3" t="str">
        <f>VLOOKUP($B157, '[1]HURDAT Query'!$A$1:$F$1030, 6, 0)</f>
        <v>NA</v>
      </c>
      <c r="G157" s="3" t="str">
        <f>_xlfn.IFNA(VLOOKUP(B157, '[1]Landfall Stats'!A:G, 7, 0), "No LF")</f>
        <v>No LF</v>
      </c>
      <c r="H157" s="3" t="str">
        <f>_xlfn.IFNA(VLOOKUP(B157, '[1]Landfall Stats'!A:G, 5, 0), "No LF")</f>
        <v>No LF</v>
      </c>
      <c r="I157" s="3" t="str">
        <f>_xlfn.IFNA(VLOOKUP(B157, '[1]Landfall Stats'!A:G, 6, 0), "No LF")</f>
        <v>No LF</v>
      </c>
      <c r="J157" s="4" t="s">
        <v>234</v>
      </c>
      <c r="K157" s="3">
        <v>0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12.75" customHeight="1" x14ac:dyDescent="0.2">
      <c r="A158" s="3">
        <v>1981</v>
      </c>
      <c r="B158" s="3" t="s">
        <v>235</v>
      </c>
      <c r="C158" s="3" t="e">
        <f>VLOOKUP($B158, '[1]HURDAT Query'!$A$1:$F$1030, 3, 0)</f>
        <v>#N/A</v>
      </c>
      <c r="D158" s="3" t="e">
        <f>VLOOKUP($B158, '[1]HURDAT Query'!$A$1:$F$1030, 4, 0)</f>
        <v>#N/A</v>
      </c>
      <c r="E158" s="3" t="e">
        <f>VLOOKUP($B158, '[1]HURDAT Query'!$A$1:$F$1030, 5, 0)</f>
        <v>#N/A</v>
      </c>
      <c r="F158" s="3" t="e">
        <f>VLOOKUP($B158, '[1]HURDAT Query'!$A$1:$F$1030, 6, 0)</f>
        <v>#N/A</v>
      </c>
      <c r="G158" s="3" t="str">
        <f>_xlfn.IFNA(VLOOKUP(B158, '[1]Landfall Stats'!A:G, 7, 0), "No LF")</f>
        <v>No LF</v>
      </c>
      <c r="H158" s="3" t="str">
        <f>_xlfn.IFNA(VLOOKUP(B158, '[1]Landfall Stats'!A:G, 5, 0), "No LF")</f>
        <v>No LF</v>
      </c>
      <c r="I158" s="3" t="str">
        <f>_xlfn.IFNA(VLOOKUP(B158, '[1]Landfall Stats'!A:G, 6, 0), "No LF")</f>
        <v>No LF</v>
      </c>
      <c r="J158" s="4" t="s">
        <v>236</v>
      </c>
      <c r="K158" s="3">
        <v>0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2.75" customHeight="1" x14ac:dyDescent="0.2">
      <c r="A159" s="3">
        <v>1981</v>
      </c>
      <c r="B159" s="3" t="s">
        <v>237</v>
      </c>
      <c r="C159" s="3" t="str">
        <f>VLOOKUP($B159, '[1]HURDAT Query'!$A$1:$F$1030, 3, 0)</f>
        <v>CINDY</v>
      </c>
      <c r="D159" s="3" t="str">
        <f>VLOOKUP($B159, '[1]HURDAT Query'!$A$1:$F$1030, 4, 0)</f>
        <v>NA</v>
      </c>
      <c r="E159" s="3" t="str">
        <f>VLOOKUP($B159, '[1]HURDAT Query'!$A$1:$F$1030, 5, 0)</f>
        <v>NA</v>
      </c>
      <c r="F159" s="3" t="str">
        <f>VLOOKUP($B159, '[1]HURDAT Query'!$A$1:$F$1030, 6, 0)</f>
        <v>NA</v>
      </c>
      <c r="G159" s="3" t="str">
        <f>_xlfn.IFNA(VLOOKUP(B159, '[1]Landfall Stats'!A:G, 7, 0), "No LF")</f>
        <v>No LF</v>
      </c>
      <c r="H159" s="3" t="str">
        <f>_xlfn.IFNA(VLOOKUP(B159, '[1]Landfall Stats'!A:G, 5, 0), "No LF")</f>
        <v>No LF</v>
      </c>
      <c r="I159" s="3" t="str">
        <f>_xlfn.IFNA(VLOOKUP(B159, '[1]Landfall Stats'!A:G, 6, 0), "No LF")</f>
        <v>No LF</v>
      </c>
      <c r="J159" s="4" t="s">
        <v>236</v>
      </c>
      <c r="K159" s="3">
        <v>0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2.75" customHeight="1" x14ac:dyDescent="0.2">
      <c r="A160" s="3">
        <v>1981</v>
      </c>
      <c r="B160" s="3" t="s">
        <v>238</v>
      </c>
      <c r="C160" s="3" t="str">
        <f>VLOOKUP($B160, '[1]HURDAT Query'!$A$1:$F$1030, 3, 0)</f>
        <v>DENNIS</v>
      </c>
      <c r="D160" s="3">
        <f>VLOOKUP($B160, '[1]HURDAT Query'!$A$1:$F$1030, 4, 0)</f>
        <v>1</v>
      </c>
      <c r="E160" s="3">
        <f>VLOOKUP($B160, '[1]HURDAT Query'!$A$1:$F$1030, 5, 0)</f>
        <v>70</v>
      </c>
      <c r="F160" s="3">
        <f>VLOOKUP($B160, '[1]HURDAT Query'!$A$1:$F$1030, 6, 0)</f>
        <v>995</v>
      </c>
      <c r="G160" s="3" t="str">
        <f>_xlfn.IFNA(VLOOKUP(B160, '[1]Landfall Stats'!A:G, 7, 0), "No LF")</f>
        <v>NA</v>
      </c>
      <c r="H160" s="3">
        <f>_xlfn.IFNA(VLOOKUP(B160, '[1]Landfall Stats'!A:G, 5, 0), "No LF")</f>
        <v>50</v>
      </c>
      <c r="I160" s="3">
        <f>_xlfn.IFNA(VLOOKUP(B160, '[1]Landfall Stats'!A:G, 6, 0), "No LF")</f>
        <v>999</v>
      </c>
      <c r="J160" s="8" t="s">
        <v>236</v>
      </c>
      <c r="K160" s="3">
        <v>0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2.75" customHeight="1" x14ac:dyDescent="0.2">
      <c r="A161" s="3">
        <v>1981</v>
      </c>
      <c r="B161" s="3" t="s">
        <v>239</v>
      </c>
      <c r="C161" s="3" t="str">
        <f>VLOOKUP($B161, '[1]HURDAT Query'!$A$1:$F$1030, 3, 0)</f>
        <v>EMILY</v>
      </c>
      <c r="D161" s="3">
        <f>VLOOKUP($B161, '[1]HURDAT Query'!$A$1:$F$1030, 4, 0)</f>
        <v>1</v>
      </c>
      <c r="E161" s="3">
        <f>VLOOKUP($B161, '[1]HURDAT Query'!$A$1:$F$1030, 5, 0)</f>
        <v>80</v>
      </c>
      <c r="F161" s="3">
        <f>VLOOKUP($B161, '[1]HURDAT Query'!$A$1:$F$1030, 6, 0)</f>
        <v>966</v>
      </c>
      <c r="G161" s="3" t="str">
        <f>_xlfn.IFNA(VLOOKUP(B161, '[1]Landfall Stats'!A:G, 7, 0), "No LF")</f>
        <v>No LF</v>
      </c>
      <c r="H161" s="3" t="str">
        <f>_xlfn.IFNA(VLOOKUP(B161, '[1]Landfall Stats'!A:G, 5, 0), "No LF")</f>
        <v>No LF</v>
      </c>
      <c r="I161" s="3" t="str">
        <f>_xlfn.IFNA(VLOOKUP(B161, '[1]Landfall Stats'!A:G, 6, 0), "No LF")</f>
        <v>No LF</v>
      </c>
      <c r="J161" s="4" t="s">
        <v>236</v>
      </c>
      <c r="K161" s="3">
        <v>0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2.75" customHeight="1" x14ac:dyDescent="0.2">
      <c r="A162" s="3">
        <v>1981</v>
      </c>
      <c r="B162" s="3" t="s">
        <v>240</v>
      </c>
      <c r="C162" s="3" t="str">
        <f>VLOOKUP($B162, '[1]HURDAT Query'!$A$1:$F$1030, 3, 0)</f>
        <v>FLOYD</v>
      </c>
      <c r="D162" s="3">
        <f>VLOOKUP($B162, '[1]HURDAT Query'!$A$1:$F$1030, 4, 0)</f>
        <v>3</v>
      </c>
      <c r="E162" s="3">
        <f>VLOOKUP($B162, '[1]HURDAT Query'!$A$1:$F$1030, 5, 0)</f>
        <v>100</v>
      </c>
      <c r="F162" s="3">
        <f>VLOOKUP($B162, '[1]HURDAT Query'!$A$1:$F$1030, 6, 0)</f>
        <v>975</v>
      </c>
      <c r="G162" s="3" t="str">
        <f>_xlfn.IFNA(VLOOKUP(B162, '[1]Landfall Stats'!A:G, 7, 0), "No LF")</f>
        <v>No LF</v>
      </c>
      <c r="H162" s="3" t="str">
        <f>_xlfn.IFNA(VLOOKUP(B162, '[1]Landfall Stats'!A:G, 5, 0), "No LF")</f>
        <v>No LF</v>
      </c>
      <c r="I162" s="3" t="str">
        <f>_xlfn.IFNA(VLOOKUP(B162, '[1]Landfall Stats'!A:G, 6, 0), "No LF")</f>
        <v>No LF</v>
      </c>
      <c r="J162" s="4" t="s">
        <v>236</v>
      </c>
      <c r="K162" s="3">
        <v>0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2.75" customHeight="1" x14ac:dyDescent="0.2">
      <c r="A163" s="3">
        <v>1981</v>
      </c>
      <c r="B163" s="3" t="s">
        <v>241</v>
      </c>
      <c r="C163" s="3" t="str">
        <f>VLOOKUP($B163, '[1]HURDAT Query'!$A$1:$F$1030, 3, 0)</f>
        <v>GERT</v>
      </c>
      <c r="D163" s="3">
        <f>VLOOKUP($B163, '[1]HURDAT Query'!$A$1:$F$1030, 4, 0)</f>
        <v>2</v>
      </c>
      <c r="E163" s="3">
        <f>VLOOKUP($B163, '[1]HURDAT Query'!$A$1:$F$1030, 5, 0)</f>
        <v>90</v>
      </c>
      <c r="F163" s="3">
        <f>VLOOKUP($B163, '[1]HURDAT Query'!$A$1:$F$1030, 6, 0)</f>
        <v>988</v>
      </c>
      <c r="G163" s="3" t="str">
        <f>_xlfn.IFNA(VLOOKUP(B163, '[1]Landfall Stats'!A:G, 7, 0), "No LF")</f>
        <v>No LF</v>
      </c>
      <c r="H163" s="3" t="str">
        <f>_xlfn.IFNA(VLOOKUP(B163, '[1]Landfall Stats'!A:G, 5, 0), "No LF")</f>
        <v>No LF</v>
      </c>
      <c r="I163" s="3" t="str">
        <f>_xlfn.IFNA(VLOOKUP(B163, '[1]Landfall Stats'!A:G, 6, 0), "No LF")</f>
        <v>No LF</v>
      </c>
      <c r="J163" s="4" t="s">
        <v>236</v>
      </c>
      <c r="K163" s="3">
        <v>0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2.75" customHeight="1" x14ac:dyDescent="0.2">
      <c r="A164" s="3">
        <v>1981</v>
      </c>
      <c r="B164" s="3" t="s">
        <v>242</v>
      </c>
      <c r="C164" s="3" t="str">
        <f>VLOOKUP($B164, '[1]HURDAT Query'!$A$1:$F$1030, 3, 0)</f>
        <v>HARVEY</v>
      </c>
      <c r="D164" s="3">
        <f>VLOOKUP($B164, '[1]HURDAT Query'!$A$1:$F$1030, 4, 0)</f>
        <v>4</v>
      </c>
      <c r="E164" s="3">
        <f>VLOOKUP($B164, '[1]HURDAT Query'!$A$1:$F$1030, 5, 0)</f>
        <v>115</v>
      </c>
      <c r="F164" s="3">
        <f>VLOOKUP($B164, '[1]HURDAT Query'!$A$1:$F$1030, 6, 0)</f>
        <v>946</v>
      </c>
      <c r="G164" s="3" t="str">
        <f>_xlfn.IFNA(VLOOKUP(B164, '[1]Landfall Stats'!A:G, 7, 0), "No LF")</f>
        <v>No LF</v>
      </c>
      <c r="H164" s="3" t="str">
        <f>_xlfn.IFNA(VLOOKUP(B164, '[1]Landfall Stats'!A:G, 5, 0), "No LF")</f>
        <v>No LF</v>
      </c>
      <c r="I164" s="3" t="str">
        <f>_xlfn.IFNA(VLOOKUP(B164, '[1]Landfall Stats'!A:G, 6, 0), "No LF")</f>
        <v>No LF</v>
      </c>
      <c r="J164" s="4" t="s">
        <v>236</v>
      </c>
      <c r="K164" s="3">
        <v>0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2.75" customHeight="1" x14ac:dyDescent="0.2">
      <c r="A165" s="3">
        <v>1981</v>
      </c>
      <c r="B165" s="3" t="s">
        <v>243</v>
      </c>
      <c r="C165" s="3" t="str">
        <f>VLOOKUP($B165, '[1]HURDAT Query'!$A$1:$F$1030, 3, 0)</f>
        <v>IRENE</v>
      </c>
      <c r="D165" s="3">
        <f>VLOOKUP($B165, '[1]HURDAT Query'!$A$1:$F$1030, 4, 0)</f>
        <v>3</v>
      </c>
      <c r="E165" s="3">
        <f>VLOOKUP($B165, '[1]HURDAT Query'!$A$1:$F$1030, 5, 0)</f>
        <v>105</v>
      </c>
      <c r="F165" s="3">
        <f>VLOOKUP($B165, '[1]HURDAT Query'!$A$1:$F$1030, 6, 0)</f>
        <v>959</v>
      </c>
      <c r="G165" s="3" t="str">
        <f>_xlfn.IFNA(VLOOKUP(B165, '[1]Landfall Stats'!A:G, 7, 0), "No LF")</f>
        <v>No LF</v>
      </c>
      <c r="H165" s="3" t="str">
        <f>_xlfn.IFNA(VLOOKUP(B165, '[1]Landfall Stats'!A:G, 5, 0), "No LF")</f>
        <v>No LF</v>
      </c>
      <c r="I165" s="3" t="str">
        <f>_xlfn.IFNA(VLOOKUP(B165, '[1]Landfall Stats'!A:G, 6, 0), "No LF")</f>
        <v>No LF</v>
      </c>
      <c r="J165" s="4" t="s">
        <v>236</v>
      </c>
      <c r="K165" s="3">
        <v>0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2.75" customHeight="1" x14ac:dyDescent="0.2">
      <c r="A166" s="3">
        <v>1981</v>
      </c>
      <c r="B166" s="3" t="s">
        <v>244</v>
      </c>
      <c r="C166" s="3" t="str">
        <f>VLOOKUP($B166, '[1]HURDAT Query'!$A$1:$F$1030, 3, 0)</f>
        <v>JOSE</v>
      </c>
      <c r="D166" s="3" t="str">
        <f>VLOOKUP($B166, '[1]HURDAT Query'!$A$1:$F$1030, 4, 0)</f>
        <v>NA</v>
      </c>
      <c r="E166" s="3" t="str">
        <f>VLOOKUP($B166, '[1]HURDAT Query'!$A$1:$F$1030, 5, 0)</f>
        <v>NA</v>
      </c>
      <c r="F166" s="3" t="str">
        <f>VLOOKUP($B166, '[1]HURDAT Query'!$A$1:$F$1030, 6, 0)</f>
        <v>NA</v>
      </c>
      <c r="G166" s="3" t="str">
        <f>_xlfn.IFNA(VLOOKUP(B166, '[1]Landfall Stats'!A:G, 7, 0), "No LF")</f>
        <v>No LF</v>
      </c>
      <c r="H166" s="3" t="str">
        <f>_xlfn.IFNA(VLOOKUP(B166, '[1]Landfall Stats'!A:G, 5, 0), "No LF")</f>
        <v>No LF</v>
      </c>
      <c r="I166" s="3" t="str">
        <f>_xlfn.IFNA(VLOOKUP(B166, '[1]Landfall Stats'!A:G, 6, 0), "No LF")</f>
        <v>No LF</v>
      </c>
      <c r="J166" s="4" t="s">
        <v>236</v>
      </c>
      <c r="K166" s="3">
        <v>0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2.75" customHeight="1" x14ac:dyDescent="0.2">
      <c r="A167" s="3">
        <v>1981</v>
      </c>
      <c r="B167" s="3" t="s">
        <v>245</v>
      </c>
      <c r="C167" s="3" t="str">
        <f>VLOOKUP($B167, '[1]HURDAT Query'!$A$1:$F$1030, 3, 0)</f>
        <v>KATRINA</v>
      </c>
      <c r="D167" s="3">
        <f>VLOOKUP($B167, '[1]HURDAT Query'!$A$1:$F$1030, 4, 0)</f>
        <v>1</v>
      </c>
      <c r="E167" s="3">
        <f>VLOOKUP($B167, '[1]HURDAT Query'!$A$1:$F$1030, 5, 0)</f>
        <v>75</v>
      </c>
      <c r="F167" s="3">
        <f>VLOOKUP($B167, '[1]HURDAT Query'!$A$1:$F$1030, 6, 0)</f>
        <v>980</v>
      </c>
      <c r="G167" s="3" t="str">
        <f>_xlfn.IFNA(VLOOKUP(B167, '[1]Landfall Stats'!A:G, 7, 0), "No LF")</f>
        <v>No LF</v>
      </c>
      <c r="H167" s="3" t="str">
        <f>_xlfn.IFNA(VLOOKUP(B167, '[1]Landfall Stats'!A:G, 5, 0), "No LF")</f>
        <v>No LF</v>
      </c>
      <c r="I167" s="3" t="str">
        <f>_xlfn.IFNA(VLOOKUP(B167, '[1]Landfall Stats'!A:G, 6, 0), "No LF")</f>
        <v>No LF</v>
      </c>
      <c r="J167" s="4" t="s">
        <v>236</v>
      </c>
      <c r="K167" s="3">
        <v>0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2.75" customHeight="1" x14ac:dyDescent="0.2">
      <c r="A168" s="3">
        <v>1982</v>
      </c>
      <c r="B168" s="3" t="s">
        <v>246</v>
      </c>
      <c r="C168" s="3" t="str">
        <f>VLOOKUP($B168, '[1]HURDAT Query'!$A$1:$F$1030, 3, 0)</f>
        <v>ALBERTO</v>
      </c>
      <c r="D168" s="3">
        <f>VLOOKUP($B168, '[1]HURDAT Query'!$A$1:$F$1030, 4, 0)</f>
        <v>1</v>
      </c>
      <c r="E168" s="3">
        <f>VLOOKUP($B168, '[1]HURDAT Query'!$A$1:$F$1030, 5, 0)</f>
        <v>75</v>
      </c>
      <c r="F168" s="3">
        <f>VLOOKUP($B168, '[1]HURDAT Query'!$A$1:$F$1030, 6, 0)</f>
        <v>985</v>
      </c>
      <c r="G168" s="3" t="str">
        <f>_xlfn.IFNA(VLOOKUP(B168, '[1]Landfall Stats'!A:G, 7, 0), "No LF")</f>
        <v>No LF</v>
      </c>
      <c r="H168" s="3" t="str">
        <f>_xlfn.IFNA(VLOOKUP(B168, '[1]Landfall Stats'!A:G, 5, 0), "No LF")</f>
        <v>No LF</v>
      </c>
      <c r="I168" s="3" t="str">
        <f>_xlfn.IFNA(VLOOKUP(B168, '[1]Landfall Stats'!A:G, 6, 0), "No LF")</f>
        <v>No LF</v>
      </c>
      <c r="J168" s="4" t="s">
        <v>247</v>
      </c>
      <c r="K168" s="3">
        <v>0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2.75" customHeight="1" x14ac:dyDescent="0.2">
      <c r="A169" s="3">
        <v>1982</v>
      </c>
      <c r="B169" s="3" t="s">
        <v>248</v>
      </c>
      <c r="C169" s="3" t="str">
        <f>VLOOKUP($B169, '[1]HURDAT Query'!$A$1:$F$1030, 3, 0)</f>
        <v>STORM 2</v>
      </c>
      <c r="D169" s="3" t="str">
        <f>VLOOKUP($B169, '[1]HURDAT Query'!$A$1:$F$1030, 4, 0)</f>
        <v>NA</v>
      </c>
      <c r="E169" s="3" t="str">
        <f>VLOOKUP($B169, '[1]HURDAT Query'!$A$1:$F$1030, 5, 0)</f>
        <v>NA</v>
      </c>
      <c r="F169" s="3" t="str">
        <f>VLOOKUP($B169, '[1]HURDAT Query'!$A$1:$F$1030, 6, 0)</f>
        <v>NA</v>
      </c>
      <c r="G169" s="3" t="str">
        <f>_xlfn.IFNA(VLOOKUP(B169, '[1]Landfall Stats'!A:G, 7, 0), "No LF")</f>
        <v>NA</v>
      </c>
      <c r="H169" s="3">
        <f>_xlfn.IFNA(VLOOKUP(B169, '[1]Landfall Stats'!A:G, 5, 0), "No LF")</f>
        <v>60</v>
      </c>
      <c r="I169" s="3">
        <f>_xlfn.IFNA(VLOOKUP(B169, '[1]Landfall Stats'!A:G, 6, 0), "No LF")</f>
        <v>992</v>
      </c>
      <c r="J169" s="4" t="s">
        <v>249</v>
      </c>
      <c r="K169" s="3">
        <v>3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>
        <v>3</v>
      </c>
      <c r="AE169" s="3" t="s">
        <v>51</v>
      </c>
    </row>
    <row r="170" spans="1:31" ht="12.75" customHeight="1" x14ac:dyDescent="0.2">
      <c r="A170" s="3">
        <v>1982</v>
      </c>
      <c r="B170" s="3" t="s">
        <v>250</v>
      </c>
      <c r="C170" s="3" t="str">
        <f>VLOOKUP($B170, '[1]HURDAT Query'!$A$1:$F$1030, 3, 0)</f>
        <v>BERYL</v>
      </c>
      <c r="D170" s="3" t="str">
        <f>VLOOKUP($B170, '[1]HURDAT Query'!$A$1:$F$1030, 4, 0)</f>
        <v>NA</v>
      </c>
      <c r="E170" s="3" t="str">
        <f>VLOOKUP($B170, '[1]HURDAT Query'!$A$1:$F$1030, 5, 0)</f>
        <v>NA</v>
      </c>
      <c r="F170" s="3" t="str">
        <f>VLOOKUP($B170, '[1]HURDAT Query'!$A$1:$F$1030, 6, 0)</f>
        <v>NA</v>
      </c>
      <c r="G170" s="3" t="str">
        <f>_xlfn.IFNA(VLOOKUP(B170, '[1]Landfall Stats'!A:G, 7, 0), "No LF")</f>
        <v>No LF</v>
      </c>
      <c r="H170" s="3" t="str">
        <f>_xlfn.IFNA(VLOOKUP(B170, '[1]Landfall Stats'!A:G, 5, 0), "No LF")</f>
        <v>No LF</v>
      </c>
      <c r="I170" s="3" t="str">
        <f>_xlfn.IFNA(VLOOKUP(B170, '[1]Landfall Stats'!A:G, 6, 0), "No LF")</f>
        <v>No LF</v>
      </c>
      <c r="J170" s="4" t="s">
        <v>249</v>
      </c>
      <c r="K170" s="3">
        <v>0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2.75" customHeight="1" x14ac:dyDescent="0.2">
      <c r="A171" s="3">
        <v>1982</v>
      </c>
      <c r="B171" s="3" t="s">
        <v>251</v>
      </c>
      <c r="C171" s="3" t="str">
        <f>VLOOKUP($B171, '[1]HURDAT Query'!$A$1:$F$1030, 3, 0)</f>
        <v>CHRIS</v>
      </c>
      <c r="D171" s="3" t="str">
        <f>VLOOKUP($B171, '[1]HURDAT Query'!$A$1:$F$1030, 4, 0)</f>
        <v>NA</v>
      </c>
      <c r="E171" s="3" t="str">
        <f>VLOOKUP($B171, '[1]HURDAT Query'!$A$1:$F$1030, 5, 0)</f>
        <v>NA</v>
      </c>
      <c r="F171" s="3" t="str">
        <f>VLOOKUP($B171, '[1]HURDAT Query'!$A$1:$F$1030, 6, 0)</f>
        <v>NA</v>
      </c>
      <c r="G171" s="3" t="str">
        <f>_xlfn.IFNA(VLOOKUP(B171, '[1]Landfall Stats'!A:G, 7, 0), "No LF")</f>
        <v>NA</v>
      </c>
      <c r="H171" s="3">
        <f>_xlfn.IFNA(VLOOKUP(B171, '[1]Landfall Stats'!A:G, 5, 0), "No LF")</f>
        <v>50</v>
      </c>
      <c r="I171" s="3">
        <f>_xlfn.IFNA(VLOOKUP(B171, '[1]Landfall Stats'!A:G, 6, 0), "No LF")</f>
        <v>997</v>
      </c>
      <c r="J171" s="4" t="s">
        <v>249</v>
      </c>
      <c r="K171" s="3">
        <v>0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2.75" customHeight="1" x14ac:dyDescent="0.2">
      <c r="A172" s="3">
        <v>1982</v>
      </c>
      <c r="B172" s="3" t="s">
        <v>252</v>
      </c>
      <c r="C172" s="3" t="str">
        <f>VLOOKUP($B172, '[1]HURDAT Query'!$A$1:$F$1030, 3, 0)</f>
        <v>DEBBY</v>
      </c>
      <c r="D172" s="3">
        <f>VLOOKUP($B172, '[1]HURDAT Query'!$A$1:$F$1030, 4, 0)</f>
        <v>4</v>
      </c>
      <c r="E172" s="3">
        <f>VLOOKUP($B172, '[1]HURDAT Query'!$A$1:$F$1030, 5, 0)</f>
        <v>115</v>
      </c>
      <c r="F172" s="3">
        <f>VLOOKUP($B172, '[1]HURDAT Query'!$A$1:$F$1030, 6, 0)</f>
        <v>950</v>
      </c>
      <c r="G172" s="3" t="str">
        <f>_xlfn.IFNA(VLOOKUP(B172, '[1]Landfall Stats'!A:G, 7, 0), "No LF")</f>
        <v>No LF</v>
      </c>
      <c r="H172" s="3" t="str">
        <f>_xlfn.IFNA(VLOOKUP(B172, '[1]Landfall Stats'!A:G, 5, 0), "No LF")</f>
        <v>No LF</v>
      </c>
      <c r="I172" s="3" t="str">
        <f>_xlfn.IFNA(VLOOKUP(B172, '[1]Landfall Stats'!A:G, 6, 0), "No LF")</f>
        <v>No LF</v>
      </c>
      <c r="J172" s="4" t="s">
        <v>249</v>
      </c>
      <c r="K172" s="3">
        <v>0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2.75" customHeight="1" x14ac:dyDescent="0.2">
      <c r="A173" s="3">
        <v>1982</v>
      </c>
      <c r="B173" s="3" t="s">
        <v>253</v>
      </c>
      <c r="C173" s="3" t="str">
        <f>VLOOKUP($B173, '[1]HURDAT Query'!$A$1:$F$1030, 3, 0)</f>
        <v>ERNESTO</v>
      </c>
      <c r="D173" s="3" t="str">
        <f>VLOOKUP($B173, '[1]HURDAT Query'!$A$1:$F$1030, 4, 0)</f>
        <v>NA</v>
      </c>
      <c r="E173" s="3" t="str">
        <f>VLOOKUP($B173, '[1]HURDAT Query'!$A$1:$F$1030, 5, 0)</f>
        <v>NA</v>
      </c>
      <c r="F173" s="3" t="str">
        <f>VLOOKUP($B173, '[1]HURDAT Query'!$A$1:$F$1030, 6, 0)</f>
        <v>NA</v>
      </c>
      <c r="G173" s="3" t="str">
        <f>_xlfn.IFNA(VLOOKUP(B173, '[1]Landfall Stats'!A:G, 7, 0), "No LF")</f>
        <v>No LF</v>
      </c>
      <c r="H173" s="3" t="str">
        <f>_xlfn.IFNA(VLOOKUP(B173, '[1]Landfall Stats'!A:G, 5, 0), "No LF")</f>
        <v>No LF</v>
      </c>
      <c r="I173" s="3" t="str">
        <f>_xlfn.IFNA(VLOOKUP(B173, '[1]Landfall Stats'!A:G, 6, 0), "No LF")</f>
        <v>No LF</v>
      </c>
      <c r="J173" s="4" t="s">
        <v>249</v>
      </c>
      <c r="K173" s="3">
        <v>0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2.75" customHeight="1" x14ac:dyDescent="0.2">
      <c r="A174" s="3">
        <v>1983</v>
      </c>
      <c r="B174" s="3" t="s">
        <v>254</v>
      </c>
      <c r="C174" s="3" t="str">
        <f>VLOOKUP($B174, '[1]HURDAT Query'!$A$1:$F$1030, 3, 0)</f>
        <v>ALICIA</v>
      </c>
      <c r="D174" s="3">
        <f>VLOOKUP($B174, '[1]HURDAT Query'!$A$1:$F$1030, 4, 0)</f>
        <v>3</v>
      </c>
      <c r="E174" s="3">
        <f>VLOOKUP($B174, '[1]HURDAT Query'!$A$1:$F$1030, 5, 0)</f>
        <v>100</v>
      </c>
      <c r="F174" s="3">
        <f>VLOOKUP($B174, '[1]HURDAT Query'!$A$1:$F$1030, 6, 0)</f>
        <v>962</v>
      </c>
      <c r="G174" s="3">
        <f>_xlfn.IFNA(VLOOKUP(B174, '[1]Landfall Stats'!A:G, 7, 0), "No LF")</f>
        <v>3</v>
      </c>
      <c r="H174" s="3">
        <f>_xlfn.IFNA(VLOOKUP(B174, '[1]Landfall Stats'!A:G, 5, 0), "No LF")</f>
        <v>100</v>
      </c>
      <c r="I174" s="3">
        <f>_xlfn.IFNA(VLOOKUP(B174, '[1]Landfall Stats'!A:G, 6, 0), "No LF")</f>
        <v>962</v>
      </c>
      <c r="J174" s="8" t="s">
        <v>255</v>
      </c>
      <c r="K174" s="3">
        <v>13</v>
      </c>
      <c r="L174" s="3"/>
      <c r="M174" s="3"/>
      <c r="N174" s="3"/>
      <c r="O174" s="3"/>
      <c r="P174" s="3">
        <v>4</v>
      </c>
      <c r="Q174" s="3" t="s">
        <v>42</v>
      </c>
      <c r="R174" s="3"/>
      <c r="S174" s="3"/>
      <c r="T174" s="3">
        <v>4</v>
      </c>
      <c r="U174" s="3" t="s">
        <v>42</v>
      </c>
      <c r="V174" s="3">
        <v>4</v>
      </c>
      <c r="W174" s="3" t="s">
        <v>42</v>
      </c>
      <c r="X174" s="3"/>
      <c r="Y174" s="3"/>
      <c r="Z174" s="3"/>
      <c r="AA174" s="3"/>
      <c r="AB174" s="3"/>
      <c r="AC174" s="3"/>
      <c r="AD174" s="3">
        <v>1</v>
      </c>
      <c r="AE174" s="3" t="s">
        <v>42</v>
      </c>
    </row>
    <row r="175" spans="1:31" ht="12.75" customHeight="1" x14ac:dyDescent="0.2">
      <c r="A175" s="3">
        <v>1983</v>
      </c>
      <c r="B175" s="3" t="s">
        <v>256</v>
      </c>
      <c r="C175" s="3" t="str">
        <f>VLOOKUP($B175, '[1]HURDAT Query'!$A$1:$F$1030, 3, 0)</f>
        <v>BARRY</v>
      </c>
      <c r="D175" s="3">
        <f>VLOOKUP($B175, '[1]HURDAT Query'!$A$1:$F$1030, 4, 0)</f>
        <v>1</v>
      </c>
      <c r="E175" s="3">
        <f>VLOOKUP($B175, '[1]HURDAT Query'!$A$1:$F$1030, 5, 0)</f>
        <v>70</v>
      </c>
      <c r="F175" s="3">
        <f>VLOOKUP($B175, '[1]HURDAT Query'!$A$1:$F$1030, 6, 0)</f>
        <v>986</v>
      </c>
      <c r="G175" s="3" t="str">
        <f>_xlfn.IFNA(VLOOKUP(B175, '[1]Landfall Stats'!A:G, 7, 0), "No LF")</f>
        <v>No LF</v>
      </c>
      <c r="H175" s="3" t="str">
        <f>_xlfn.IFNA(VLOOKUP(B175, '[1]Landfall Stats'!A:G, 5, 0), "No LF")</f>
        <v>No LF</v>
      </c>
      <c r="I175" s="3" t="str">
        <f>_xlfn.IFNA(VLOOKUP(B175, '[1]Landfall Stats'!A:G, 6, 0), "No LF")</f>
        <v>No LF</v>
      </c>
      <c r="J175" s="4" t="s">
        <v>257</v>
      </c>
      <c r="K175" s="3">
        <v>1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>
        <v>1</v>
      </c>
      <c r="AE175" s="3" t="s">
        <v>42</v>
      </c>
    </row>
    <row r="176" spans="1:31" ht="12.75" customHeight="1" x14ac:dyDescent="0.2">
      <c r="A176" s="3">
        <v>1983</v>
      </c>
      <c r="B176" s="3" t="s">
        <v>258</v>
      </c>
      <c r="C176" s="3" t="str">
        <f>VLOOKUP($B176, '[1]HURDAT Query'!$A$1:$F$1030, 3, 0)</f>
        <v>CHANTAL</v>
      </c>
      <c r="D176" s="3">
        <f>VLOOKUP($B176, '[1]HURDAT Query'!$A$1:$F$1030, 4, 0)</f>
        <v>1</v>
      </c>
      <c r="E176" s="3">
        <f>VLOOKUP($B176, '[1]HURDAT Query'!$A$1:$F$1030, 5, 0)</f>
        <v>65</v>
      </c>
      <c r="F176" s="3">
        <f>VLOOKUP($B176, '[1]HURDAT Query'!$A$1:$F$1030, 6, 0)</f>
        <v>994</v>
      </c>
      <c r="G176" s="3" t="str">
        <f>_xlfn.IFNA(VLOOKUP(B176, '[1]Landfall Stats'!A:G, 7, 0), "No LF")</f>
        <v>No LF</v>
      </c>
      <c r="H176" s="3" t="str">
        <f>_xlfn.IFNA(VLOOKUP(B176, '[1]Landfall Stats'!A:G, 5, 0), "No LF")</f>
        <v>No LF</v>
      </c>
      <c r="I176" s="3" t="str">
        <f>_xlfn.IFNA(VLOOKUP(B176, '[1]Landfall Stats'!A:G, 6, 0), "No LF")</f>
        <v>No LF</v>
      </c>
      <c r="J176" s="4" t="s">
        <v>259</v>
      </c>
      <c r="K176" s="3">
        <v>0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2.75" customHeight="1" x14ac:dyDescent="0.2">
      <c r="A177" s="3">
        <v>1983</v>
      </c>
      <c r="B177" s="3" t="s">
        <v>260</v>
      </c>
      <c r="C177" s="3" t="str">
        <f>VLOOKUP($B177, '[1]HURDAT Query'!$A$1:$F$1030, 3, 0)</f>
        <v>DEAN</v>
      </c>
      <c r="D177" s="3" t="str">
        <f>VLOOKUP($B177, '[1]HURDAT Query'!$A$1:$F$1030, 4, 0)</f>
        <v>NA</v>
      </c>
      <c r="E177" s="3" t="str">
        <f>VLOOKUP($B177, '[1]HURDAT Query'!$A$1:$F$1030, 5, 0)</f>
        <v>NA</v>
      </c>
      <c r="F177" s="3" t="str">
        <f>VLOOKUP($B177, '[1]HURDAT Query'!$A$1:$F$1030, 6, 0)</f>
        <v>NA</v>
      </c>
      <c r="G177" s="3" t="str">
        <f>_xlfn.IFNA(VLOOKUP(B177, '[1]Landfall Stats'!A:G, 7, 0), "No LF")</f>
        <v>NA</v>
      </c>
      <c r="H177" s="3">
        <f>_xlfn.IFNA(VLOOKUP(B177, '[1]Landfall Stats'!A:G, 5, 0), "No LF")</f>
        <v>55</v>
      </c>
      <c r="I177" s="3">
        <f>_xlfn.IFNA(VLOOKUP(B177, '[1]Landfall Stats'!A:G, 6, 0), "No LF")</f>
        <v>1009</v>
      </c>
      <c r="J177" s="4" t="s">
        <v>257</v>
      </c>
      <c r="K177" s="3">
        <v>0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2.75" customHeight="1" x14ac:dyDescent="0.2">
      <c r="A178" s="3">
        <v>1984</v>
      </c>
      <c r="B178" s="3" t="s">
        <v>261</v>
      </c>
      <c r="C178" s="3" t="str">
        <f>VLOOKUP($B178, '[1]HURDAT Query'!$A$1:$F$1030, 3, 0)</f>
        <v>ARTHUR</v>
      </c>
      <c r="D178" s="3" t="str">
        <f>VLOOKUP($B178, '[1]HURDAT Query'!$A$1:$F$1030, 4, 0)</f>
        <v>NA</v>
      </c>
      <c r="E178" s="3" t="str">
        <f>VLOOKUP($B178, '[1]HURDAT Query'!$A$1:$F$1030, 5, 0)</f>
        <v>NA</v>
      </c>
      <c r="F178" s="3" t="str">
        <f>VLOOKUP($B178, '[1]HURDAT Query'!$A$1:$F$1030, 6, 0)</f>
        <v>NA</v>
      </c>
      <c r="G178" s="3" t="str">
        <f>_xlfn.IFNA(VLOOKUP(B178, '[1]Landfall Stats'!A:G, 7, 0), "No LF")</f>
        <v>No LF</v>
      </c>
      <c r="H178" s="3" t="str">
        <f>_xlfn.IFNA(VLOOKUP(B178, '[1]Landfall Stats'!A:G, 5, 0), "No LF")</f>
        <v>No LF</v>
      </c>
      <c r="I178" s="3" t="str">
        <f>_xlfn.IFNA(VLOOKUP(B178, '[1]Landfall Stats'!A:G, 6, 0), "No LF")</f>
        <v>No LF</v>
      </c>
      <c r="J178" s="4" t="s">
        <v>262</v>
      </c>
      <c r="K178" s="3">
        <v>0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2.75" customHeight="1" x14ac:dyDescent="0.2">
      <c r="A179" s="3">
        <v>1984</v>
      </c>
      <c r="B179" s="3" t="s">
        <v>263</v>
      </c>
      <c r="C179" s="3" t="str">
        <f>VLOOKUP($B179, '[1]HURDAT Query'!$A$1:$F$1030, 3, 0)</f>
        <v>BERTHA</v>
      </c>
      <c r="D179" s="3" t="str">
        <f>VLOOKUP($B179, '[1]HURDAT Query'!$A$1:$F$1030, 4, 0)</f>
        <v>NA</v>
      </c>
      <c r="E179" s="3" t="str">
        <f>VLOOKUP($B179, '[1]HURDAT Query'!$A$1:$F$1030, 5, 0)</f>
        <v>NA</v>
      </c>
      <c r="F179" s="3" t="str">
        <f>VLOOKUP($B179, '[1]HURDAT Query'!$A$1:$F$1030, 6, 0)</f>
        <v>NA</v>
      </c>
      <c r="G179" s="3" t="str">
        <f>_xlfn.IFNA(VLOOKUP(B179, '[1]Landfall Stats'!A:G, 7, 0), "No LF")</f>
        <v>No LF</v>
      </c>
      <c r="H179" s="3" t="str">
        <f>_xlfn.IFNA(VLOOKUP(B179, '[1]Landfall Stats'!A:G, 5, 0), "No LF")</f>
        <v>No LF</v>
      </c>
      <c r="I179" s="3" t="str">
        <f>_xlfn.IFNA(VLOOKUP(B179, '[1]Landfall Stats'!A:G, 6, 0), "No LF")</f>
        <v>No LF</v>
      </c>
      <c r="J179" s="4" t="s">
        <v>264</v>
      </c>
      <c r="K179" s="3">
        <v>0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ht="12.75" customHeight="1" x14ac:dyDescent="0.2">
      <c r="A180" s="3">
        <v>1984</v>
      </c>
      <c r="B180" s="3" t="s">
        <v>265</v>
      </c>
      <c r="C180" s="3" t="str">
        <f>VLOOKUP($B180, '[1]HURDAT Query'!$A$1:$F$1030, 3, 0)</f>
        <v>CESAR</v>
      </c>
      <c r="D180" s="3" t="str">
        <f>VLOOKUP($B180, '[1]HURDAT Query'!$A$1:$F$1030, 4, 0)</f>
        <v>NA</v>
      </c>
      <c r="E180" s="3" t="str">
        <f>VLOOKUP($B180, '[1]HURDAT Query'!$A$1:$F$1030, 5, 0)</f>
        <v>NA</v>
      </c>
      <c r="F180" s="3" t="str">
        <f>VLOOKUP($B180, '[1]HURDAT Query'!$A$1:$F$1030, 6, 0)</f>
        <v>NA</v>
      </c>
      <c r="G180" s="3" t="str">
        <f>_xlfn.IFNA(VLOOKUP(B180, '[1]Landfall Stats'!A:G, 7, 0), "No LF")</f>
        <v>No LF</v>
      </c>
      <c r="H180" s="3" t="str">
        <f>_xlfn.IFNA(VLOOKUP(B180, '[1]Landfall Stats'!A:G, 5, 0), "No LF")</f>
        <v>No LF</v>
      </c>
      <c r="I180" s="3" t="str">
        <f>_xlfn.IFNA(VLOOKUP(B180, '[1]Landfall Stats'!A:G, 6, 0), "No LF")</f>
        <v>No LF</v>
      </c>
      <c r="J180" s="4" t="s">
        <v>264</v>
      </c>
      <c r="K180" s="3">
        <v>0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2.75" customHeight="1" x14ac:dyDescent="0.2">
      <c r="A181" s="3">
        <v>1984</v>
      </c>
      <c r="B181" s="3" t="s">
        <v>266</v>
      </c>
      <c r="C181" s="3" t="str">
        <f>VLOOKUP($B181, '[1]HURDAT Query'!$A$1:$F$1030, 3, 0)</f>
        <v>DIANA</v>
      </c>
      <c r="D181" s="3">
        <f>VLOOKUP($B181, '[1]HURDAT Query'!$A$1:$F$1030, 4, 0)</f>
        <v>4</v>
      </c>
      <c r="E181" s="3">
        <f>VLOOKUP($B181, '[1]HURDAT Query'!$A$1:$F$1030, 5, 0)</f>
        <v>115</v>
      </c>
      <c r="F181" s="3">
        <f>VLOOKUP($B181, '[1]HURDAT Query'!$A$1:$F$1030, 6, 0)</f>
        <v>949</v>
      </c>
      <c r="G181" s="3">
        <f>_xlfn.IFNA(VLOOKUP(B181, '[1]Landfall Stats'!A:G, 7, 0), "No LF")</f>
        <v>1</v>
      </c>
      <c r="H181" s="3">
        <f>_xlfn.IFNA(VLOOKUP(B181, '[1]Landfall Stats'!A:G, 5, 0), "No LF")</f>
        <v>80</v>
      </c>
      <c r="I181" s="3">
        <f>_xlfn.IFNA(VLOOKUP(B181, '[1]Landfall Stats'!A:G, 6, 0), "No LF")</f>
        <v>979</v>
      </c>
      <c r="J181" s="4" t="s">
        <v>264</v>
      </c>
      <c r="K181" s="3">
        <v>3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>
        <v>3</v>
      </c>
      <c r="AE181" s="3" t="s">
        <v>42</v>
      </c>
    </row>
    <row r="182" spans="1:31" ht="12.75" customHeight="1" x14ac:dyDescent="0.2">
      <c r="A182" s="3">
        <v>1984</v>
      </c>
      <c r="B182" s="3" t="s">
        <v>267</v>
      </c>
      <c r="C182" s="3" t="str">
        <f>VLOOKUP($B182, '[1]HURDAT Query'!$A$1:$F$1030, 3, 0)</f>
        <v>EDOUARD</v>
      </c>
      <c r="D182" s="3" t="str">
        <f>VLOOKUP($B182, '[1]HURDAT Query'!$A$1:$F$1030, 4, 0)</f>
        <v>NA</v>
      </c>
      <c r="E182" s="3" t="str">
        <f>VLOOKUP($B182, '[1]HURDAT Query'!$A$1:$F$1030, 5, 0)</f>
        <v>NA</v>
      </c>
      <c r="F182" s="3" t="str">
        <f>VLOOKUP($B182, '[1]HURDAT Query'!$A$1:$F$1030, 6, 0)</f>
        <v>NA</v>
      </c>
      <c r="G182" s="3" t="str">
        <f>_xlfn.IFNA(VLOOKUP(B182, '[1]Landfall Stats'!A:G, 7, 0), "No LF")</f>
        <v>No LF</v>
      </c>
      <c r="H182" s="3" t="str">
        <f>_xlfn.IFNA(VLOOKUP(B182, '[1]Landfall Stats'!A:G, 5, 0), "No LF")</f>
        <v>No LF</v>
      </c>
      <c r="I182" s="3" t="str">
        <f>_xlfn.IFNA(VLOOKUP(B182, '[1]Landfall Stats'!A:G, 6, 0), "No LF")</f>
        <v>No LF</v>
      </c>
      <c r="J182" s="4" t="s">
        <v>264</v>
      </c>
      <c r="K182" s="3">
        <v>0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2.75" customHeight="1" x14ac:dyDescent="0.2">
      <c r="A183" s="3">
        <v>1984</v>
      </c>
      <c r="B183" s="3" t="s">
        <v>268</v>
      </c>
      <c r="C183" s="3" t="str">
        <f>VLOOKUP($B183, '[1]HURDAT Query'!$A$1:$F$1030, 3, 0)</f>
        <v>FRAN</v>
      </c>
      <c r="D183" s="3" t="str">
        <f>VLOOKUP($B183, '[1]HURDAT Query'!$A$1:$F$1030, 4, 0)</f>
        <v>NA</v>
      </c>
      <c r="E183" s="3" t="str">
        <f>VLOOKUP($B183, '[1]HURDAT Query'!$A$1:$F$1030, 5, 0)</f>
        <v>NA</v>
      </c>
      <c r="F183" s="3" t="str">
        <f>VLOOKUP($B183, '[1]HURDAT Query'!$A$1:$F$1030, 6, 0)</f>
        <v>NA</v>
      </c>
      <c r="G183" s="3" t="str">
        <f>_xlfn.IFNA(VLOOKUP(B183, '[1]Landfall Stats'!A:G, 7, 0), "No LF")</f>
        <v>No LF</v>
      </c>
      <c r="H183" s="3" t="str">
        <f>_xlfn.IFNA(VLOOKUP(B183, '[1]Landfall Stats'!A:G, 5, 0), "No LF")</f>
        <v>No LF</v>
      </c>
      <c r="I183" s="3" t="str">
        <f>_xlfn.IFNA(VLOOKUP(B183, '[1]Landfall Stats'!A:G, 6, 0), "No LF")</f>
        <v>No LF</v>
      </c>
      <c r="J183" s="4" t="s">
        <v>264</v>
      </c>
      <c r="K183" s="3">
        <v>0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2.75" customHeight="1" x14ac:dyDescent="0.2">
      <c r="A184" s="3">
        <v>1984</v>
      </c>
      <c r="B184" s="3" t="s">
        <v>269</v>
      </c>
      <c r="C184" s="3" t="str">
        <f>VLOOKUP($B184, '[1]HURDAT Query'!$A$1:$F$1030, 3, 0)</f>
        <v>GUSTAV</v>
      </c>
      <c r="D184" s="3" t="str">
        <f>VLOOKUP($B184, '[1]HURDAT Query'!$A$1:$F$1030, 4, 0)</f>
        <v>NA</v>
      </c>
      <c r="E184" s="3" t="str">
        <f>VLOOKUP($B184, '[1]HURDAT Query'!$A$1:$F$1030, 5, 0)</f>
        <v>NA</v>
      </c>
      <c r="F184" s="3" t="str">
        <f>VLOOKUP($B184, '[1]HURDAT Query'!$A$1:$F$1030, 6, 0)</f>
        <v>NA</v>
      </c>
      <c r="G184" s="3" t="str">
        <f>_xlfn.IFNA(VLOOKUP(B184, '[1]Landfall Stats'!A:G, 7, 0), "No LF")</f>
        <v>No LF</v>
      </c>
      <c r="H184" s="3" t="str">
        <f>_xlfn.IFNA(VLOOKUP(B184, '[1]Landfall Stats'!A:G, 5, 0), "No LF")</f>
        <v>No LF</v>
      </c>
      <c r="I184" s="3" t="str">
        <f>_xlfn.IFNA(VLOOKUP(B184, '[1]Landfall Stats'!A:G, 6, 0), "No LF")</f>
        <v>No LF</v>
      </c>
      <c r="J184" s="4" t="s">
        <v>264</v>
      </c>
      <c r="K184" s="3">
        <v>0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2.75" customHeight="1" x14ac:dyDescent="0.2">
      <c r="A185" s="3">
        <v>1984</v>
      </c>
      <c r="B185" s="3" t="s">
        <v>270</v>
      </c>
      <c r="C185" s="3" t="str">
        <f>VLOOKUP($B185, '[1]HURDAT Query'!$A$1:$F$1030, 3, 0)</f>
        <v>HORTENSE</v>
      </c>
      <c r="D185" s="3">
        <f>VLOOKUP($B185, '[1]HURDAT Query'!$A$1:$F$1030, 4, 0)</f>
        <v>1</v>
      </c>
      <c r="E185" s="3">
        <f>VLOOKUP($B185, '[1]HURDAT Query'!$A$1:$F$1030, 5, 0)</f>
        <v>65</v>
      </c>
      <c r="F185" s="3">
        <f>VLOOKUP($B185, '[1]HURDAT Query'!$A$1:$F$1030, 6, 0)</f>
        <v>993</v>
      </c>
      <c r="G185" s="3" t="str">
        <f>_xlfn.IFNA(VLOOKUP(B185, '[1]Landfall Stats'!A:G, 7, 0), "No LF")</f>
        <v>No LF</v>
      </c>
      <c r="H185" s="3" t="str">
        <f>_xlfn.IFNA(VLOOKUP(B185, '[1]Landfall Stats'!A:G, 5, 0), "No LF")</f>
        <v>No LF</v>
      </c>
      <c r="I185" s="3" t="str">
        <f>_xlfn.IFNA(VLOOKUP(B185, '[1]Landfall Stats'!A:G, 6, 0), "No LF")</f>
        <v>No LF</v>
      </c>
      <c r="J185" s="4" t="s">
        <v>264</v>
      </c>
      <c r="K185" s="3">
        <v>0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2.75" customHeight="1" x14ac:dyDescent="0.2">
      <c r="A186" s="3">
        <v>1984</v>
      </c>
      <c r="B186" s="3" t="s">
        <v>271</v>
      </c>
      <c r="C186" s="3" t="str">
        <f>VLOOKUP($B186, '[1]HURDAT Query'!$A$1:$F$1030, 3, 0)</f>
        <v>ISIDORE</v>
      </c>
      <c r="D186" s="3" t="str">
        <f>VLOOKUP($B186, '[1]HURDAT Query'!$A$1:$F$1030, 4, 0)</f>
        <v>NA</v>
      </c>
      <c r="E186" s="3" t="str">
        <f>VLOOKUP($B186, '[1]HURDAT Query'!$A$1:$F$1030, 5, 0)</f>
        <v>NA</v>
      </c>
      <c r="F186" s="3" t="str">
        <f>VLOOKUP($B186, '[1]HURDAT Query'!$A$1:$F$1030, 6, 0)</f>
        <v>NA</v>
      </c>
      <c r="G186" s="3" t="str">
        <f>_xlfn.IFNA(VLOOKUP(B186, '[1]Landfall Stats'!A:G, 7, 0), "No LF")</f>
        <v>NA</v>
      </c>
      <c r="H186" s="3">
        <f>_xlfn.IFNA(VLOOKUP(B186, '[1]Landfall Stats'!A:G, 5, 0), "No LF")</f>
        <v>50</v>
      </c>
      <c r="I186" s="3">
        <f>_xlfn.IFNA(VLOOKUP(B186, '[1]Landfall Stats'!A:G, 6, 0), "No LF")</f>
        <v>1000</v>
      </c>
      <c r="J186" s="4" t="s">
        <v>264</v>
      </c>
      <c r="K186" s="3">
        <v>1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>
        <v>1</v>
      </c>
      <c r="AE186" s="3" t="s">
        <v>51</v>
      </c>
    </row>
    <row r="187" spans="1:31" ht="12.75" customHeight="1" x14ac:dyDescent="0.2">
      <c r="A187" s="3">
        <v>1984</v>
      </c>
      <c r="B187" s="3" t="s">
        <v>272</v>
      </c>
      <c r="C187" s="3" t="str">
        <f>VLOOKUP($B187, '[1]HURDAT Query'!$A$1:$F$1030, 3, 0)</f>
        <v>JOSEPHINE</v>
      </c>
      <c r="D187" s="3">
        <f>VLOOKUP($B187, '[1]HURDAT Query'!$A$1:$F$1030, 4, 0)</f>
        <v>2</v>
      </c>
      <c r="E187" s="3">
        <f>VLOOKUP($B187, '[1]HURDAT Query'!$A$1:$F$1030, 5, 0)</f>
        <v>90</v>
      </c>
      <c r="F187" s="3">
        <f>VLOOKUP($B187, '[1]HURDAT Query'!$A$1:$F$1030, 6, 0)</f>
        <v>965</v>
      </c>
      <c r="G187" s="3" t="str">
        <f>_xlfn.IFNA(VLOOKUP(B187, '[1]Landfall Stats'!A:G, 7, 0), "No LF")</f>
        <v>No LF</v>
      </c>
      <c r="H187" s="3" t="str">
        <f>_xlfn.IFNA(VLOOKUP(B187, '[1]Landfall Stats'!A:G, 5, 0), "No LF")</f>
        <v>No LF</v>
      </c>
      <c r="I187" s="3" t="str">
        <f>_xlfn.IFNA(VLOOKUP(B187, '[1]Landfall Stats'!A:G, 6, 0), "No LF")</f>
        <v>No LF</v>
      </c>
      <c r="J187" s="4" t="s">
        <v>264</v>
      </c>
      <c r="K187" s="3">
        <v>0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2.75" customHeight="1" x14ac:dyDescent="0.2">
      <c r="A188" s="3">
        <v>1984</v>
      </c>
      <c r="B188" s="3" t="s">
        <v>273</v>
      </c>
      <c r="C188" s="3" t="str">
        <f>VLOOKUP($B188, '[1]HURDAT Query'!$A$1:$F$1030, 3, 0)</f>
        <v>KLAUS</v>
      </c>
      <c r="D188" s="3">
        <f>VLOOKUP($B188, '[1]HURDAT Query'!$A$1:$F$1030, 4, 0)</f>
        <v>1</v>
      </c>
      <c r="E188" s="3">
        <f>VLOOKUP($B188, '[1]HURDAT Query'!$A$1:$F$1030, 5, 0)</f>
        <v>80</v>
      </c>
      <c r="F188" s="3">
        <f>VLOOKUP($B188, '[1]HURDAT Query'!$A$1:$F$1030, 6, 0)</f>
        <v>971</v>
      </c>
      <c r="G188" s="3" t="str">
        <f>_xlfn.IFNA(VLOOKUP(B188, '[1]Landfall Stats'!A:G, 7, 0), "No LF")</f>
        <v>No LF</v>
      </c>
      <c r="H188" s="3" t="str">
        <f>_xlfn.IFNA(VLOOKUP(B188, '[1]Landfall Stats'!A:G, 5, 0), "No LF")</f>
        <v>No LF</v>
      </c>
      <c r="I188" s="3" t="str">
        <f>_xlfn.IFNA(VLOOKUP(B188, '[1]Landfall Stats'!A:G, 6, 0), "No LF")</f>
        <v>No LF</v>
      </c>
      <c r="J188" s="4" t="s">
        <v>264</v>
      </c>
      <c r="K188" s="3">
        <v>0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2.75" customHeight="1" x14ac:dyDescent="0.2">
      <c r="A189" s="3">
        <v>1984</v>
      </c>
      <c r="B189" s="3" t="s">
        <v>274</v>
      </c>
      <c r="C189" s="3" t="str">
        <f>VLOOKUP($B189, '[1]HURDAT Query'!$A$1:$F$1030, 3, 0)</f>
        <v>LILI</v>
      </c>
      <c r="D189" s="3">
        <f>VLOOKUP($B189, '[1]HURDAT Query'!$A$1:$F$1030, 4, 0)</f>
        <v>1</v>
      </c>
      <c r="E189" s="3">
        <f>VLOOKUP($B189, '[1]HURDAT Query'!$A$1:$F$1030, 5, 0)</f>
        <v>70</v>
      </c>
      <c r="F189" s="3">
        <f>VLOOKUP($B189, '[1]HURDAT Query'!$A$1:$F$1030, 6, 0)</f>
        <v>980</v>
      </c>
      <c r="G189" s="3" t="str">
        <f>_xlfn.IFNA(VLOOKUP(B189, '[1]Landfall Stats'!A:G, 7, 0), "No LF")</f>
        <v>No LF</v>
      </c>
      <c r="H189" s="3" t="str">
        <f>_xlfn.IFNA(VLOOKUP(B189, '[1]Landfall Stats'!A:G, 5, 0), "No LF")</f>
        <v>No LF</v>
      </c>
      <c r="I189" s="3" t="str">
        <f>_xlfn.IFNA(VLOOKUP(B189, '[1]Landfall Stats'!A:G, 6, 0), "No LF")</f>
        <v>No LF</v>
      </c>
      <c r="J189" s="4" t="s">
        <v>264</v>
      </c>
      <c r="K189" s="3">
        <v>0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2.75" customHeight="1" x14ac:dyDescent="0.2">
      <c r="A190" s="3">
        <v>1985</v>
      </c>
      <c r="B190" s="3" t="s">
        <v>275</v>
      </c>
      <c r="C190" s="3" t="str">
        <f>VLOOKUP($B190, '[1]HURDAT Query'!$A$1:$F$1030, 3, 0)</f>
        <v>ANA</v>
      </c>
      <c r="D190" s="3" t="str">
        <f>VLOOKUP($B190, '[1]HURDAT Query'!$A$1:$F$1030, 4, 0)</f>
        <v>NA</v>
      </c>
      <c r="E190" s="3" t="str">
        <f>VLOOKUP($B190, '[1]HURDAT Query'!$A$1:$F$1030, 5, 0)</f>
        <v>NA</v>
      </c>
      <c r="F190" s="3" t="str">
        <f>VLOOKUP($B190, '[1]HURDAT Query'!$A$1:$F$1030, 6, 0)</f>
        <v>NA</v>
      </c>
      <c r="G190" s="3" t="str">
        <f>_xlfn.IFNA(VLOOKUP(B190, '[1]Landfall Stats'!A:G, 7, 0), "No LF")</f>
        <v>No LF</v>
      </c>
      <c r="H190" s="3" t="str">
        <f>_xlfn.IFNA(VLOOKUP(B190, '[1]Landfall Stats'!A:G, 5, 0), "No LF")</f>
        <v>No LF</v>
      </c>
      <c r="I190" s="3" t="str">
        <f>_xlfn.IFNA(VLOOKUP(B190, '[1]Landfall Stats'!A:G, 6, 0), "No LF")</f>
        <v>No LF</v>
      </c>
      <c r="J190" s="4" t="s">
        <v>276</v>
      </c>
      <c r="K190" s="3">
        <v>0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2.75" customHeight="1" x14ac:dyDescent="0.2">
      <c r="A191" s="3">
        <v>1985</v>
      </c>
      <c r="B191" s="3" t="s">
        <v>277</v>
      </c>
      <c r="C191" s="3" t="str">
        <f>VLOOKUP($B191, '[1]HURDAT Query'!$A$1:$F$1030, 3, 0)</f>
        <v>BOB</v>
      </c>
      <c r="D191" s="3">
        <f>VLOOKUP($B191, '[1]HURDAT Query'!$A$1:$F$1030, 4, 0)</f>
        <v>1</v>
      </c>
      <c r="E191" s="3">
        <f>VLOOKUP($B191, '[1]HURDAT Query'!$A$1:$F$1030, 5, 0)</f>
        <v>65</v>
      </c>
      <c r="F191" s="3">
        <f>VLOOKUP($B191, '[1]HURDAT Query'!$A$1:$F$1030, 6, 0)</f>
        <v>1002</v>
      </c>
      <c r="G191" s="3" t="str">
        <f>_xlfn.IFNA(VLOOKUP(B191, '[1]Landfall Stats'!A:G, 7, 0), "No LF")</f>
        <v>NA</v>
      </c>
      <c r="H191" s="3">
        <f>_xlfn.IFNA(VLOOKUP(B191, '[1]Landfall Stats'!A:G, 5, 0), "No LF")</f>
        <v>40</v>
      </c>
      <c r="I191" s="3">
        <f>_xlfn.IFNA(VLOOKUP(B191, '[1]Landfall Stats'!A:G, 6, 0), "No LF")</f>
        <v>1004</v>
      </c>
      <c r="J191" s="4" t="s">
        <v>276</v>
      </c>
      <c r="K191" s="3">
        <v>0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2.75" customHeight="1" x14ac:dyDescent="0.2">
      <c r="A192" s="3">
        <v>1985</v>
      </c>
      <c r="B192" s="3" t="s">
        <v>278</v>
      </c>
      <c r="C192" s="3" t="str">
        <f>VLOOKUP($B192, '[1]HURDAT Query'!$A$1:$F$1030, 3, 0)</f>
        <v>CLAUDETTE</v>
      </c>
      <c r="D192" s="3">
        <f>VLOOKUP($B192, '[1]HURDAT Query'!$A$1:$F$1030, 4, 0)</f>
        <v>1</v>
      </c>
      <c r="E192" s="3">
        <f>VLOOKUP($B192, '[1]HURDAT Query'!$A$1:$F$1030, 5, 0)</f>
        <v>75</v>
      </c>
      <c r="F192" s="3">
        <f>VLOOKUP($B192, '[1]HURDAT Query'!$A$1:$F$1030, 6, 0)</f>
        <v>980</v>
      </c>
      <c r="G192" s="3" t="str">
        <f>_xlfn.IFNA(VLOOKUP(B192, '[1]Landfall Stats'!A:G, 7, 0), "No LF")</f>
        <v>No LF</v>
      </c>
      <c r="H192" s="3" t="str">
        <f>_xlfn.IFNA(VLOOKUP(B192, '[1]Landfall Stats'!A:G, 5, 0), "No LF")</f>
        <v>No LF</v>
      </c>
      <c r="I192" s="3" t="str">
        <f>_xlfn.IFNA(VLOOKUP(B192, '[1]Landfall Stats'!A:G, 6, 0), "No LF")</f>
        <v>No LF</v>
      </c>
      <c r="J192" s="4" t="s">
        <v>276</v>
      </c>
      <c r="K192" s="3">
        <v>0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2.75" customHeight="1" x14ac:dyDescent="0.2">
      <c r="A193" s="3">
        <v>1985</v>
      </c>
      <c r="B193" s="3" t="s">
        <v>279</v>
      </c>
      <c r="C193" s="3" t="str">
        <f>VLOOKUP($B193, '[1]HURDAT Query'!$A$1:$F$1030, 3, 0)</f>
        <v>DANNY</v>
      </c>
      <c r="D193" s="3">
        <f>VLOOKUP($B193, '[1]HURDAT Query'!$A$1:$F$1030, 4, 0)</f>
        <v>1</v>
      </c>
      <c r="E193" s="3">
        <f>VLOOKUP($B193, '[1]HURDAT Query'!$A$1:$F$1030, 5, 0)</f>
        <v>80</v>
      </c>
      <c r="F193" s="3">
        <f>VLOOKUP($B193, '[1]HURDAT Query'!$A$1:$F$1030, 6, 0)</f>
        <v>987</v>
      </c>
      <c r="G193" s="3">
        <f>_xlfn.IFNA(VLOOKUP(B193, '[1]Landfall Stats'!A:G, 7, 0), "No LF")</f>
        <v>1</v>
      </c>
      <c r="H193" s="3">
        <f>_xlfn.IFNA(VLOOKUP(B193, '[1]Landfall Stats'!A:G, 5, 0), "No LF")</f>
        <v>80</v>
      </c>
      <c r="I193" s="3">
        <f>_xlfn.IFNA(VLOOKUP(B193, '[1]Landfall Stats'!A:G, 6, 0), "No LF")</f>
        <v>987</v>
      </c>
      <c r="J193" s="4" t="s">
        <v>276</v>
      </c>
      <c r="K193" s="3">
        <v>1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>
        <v>1</v>
      </c>
      <c r="AE193" s="3" t="s">
        <v>42</v>
      </c>
    </row>
    <row r="194" spans="1:31" ht="12.75" customHeight="1" x14ac:dyDescent="0.2">
      <c r="A194" s="3">
        <v>1985</v>
      </c>
      <c r="B194" s="3" t="s">
        <v>280</v>
      </c>
      <c r="C194" s="3" t="str">
        <f>VLOOKUP($B194, '[1]HURDAT Query'!$A$1:$F$1030, 3, 0)</f>
        <v>ELENA</v>
      </c>
      <c r="D194" s="3">
        <f>VLOOKUP($B194, '[1]HURDAT Query'!$A$1:$F$1030, 4, 0)</f>
        <v>3</v>
      </c>
      <c r="E194" s="3">
        <f>VLOOKUP($B194, '[1]HURDAT Query'!$A$1:$F$1030, 5, 0)</f>
        <v>110</v>
      </c>
      <c r="F194" s="3">
        <f>VLOOKUP($B194, '[1]HURDAT Query'!$A$1:$F$1030, 6, 0)</f>
        <v>953</v>
      </c>
      <c r="G194" s="3">
        <f>_xlfn.IFNA(VLOOKUP(B194, '[1]Landfall Stats'!A:G, 7, 0), "No LF")</f>
        <v>3</v>
      </c>
      <c r="H194" s="3">
        <f>_xlfn.IFNA(VLOOKUP(B194, '[1]Landfall Stats'!A:G, 5, 0), "No LF")</f>
        <v>100</v>
      </c>
      <c r="I194" s="3">
        <f>_xlfn.IFNA(VLOOKUP(B194, '[1]Landfall Stats'!A:G, 6, 0), "No LF")</f>
        <v>959</v>
      </c>
      <c r="J194" s="4" t="s">
        <v>276</v>
      </c>
      <c r="K194" s="3">
        <v>4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>
        <v>4</v>
      </c>
      <c r="AE194" s="3" t="s">
        <v>42</v>
      </c>
    </row>
    <row r="195" spans="1:31" ht="12.75" customHeight="1" x14ac:dyDescent="0.2">
      <c r="A195" s="3">
        <v>1985</v>
      </c>
      <c r="B195" s="3" t="s">
        <v>281</v>
      </c>
      <c r="C195" s="3" t="str">
        <f>VLOOKUP($B195, '[1]HURDAT Query'!$A$1:$F$1030, 3, 0)</f>
        <v>FABIAN</v>
      </c>
      <c r="D195" s="3" t="str">
        <f>VLOOKUP($B195, '[1]HURDAT Query'!$A$1:$F$1030, 4, 0)</f>
        <v>NA</v>
      </c>
      <c r="E195" s="3" t="str">
        <f>VLOOKUP($B195, '[1]HURDAT Query'!$A$1:$F$1030, 5, 0)</f>
        <v>NA</v>
      </c>
      <c r="F195" s="3" t="str">
        <f>VLOOKUP($B195, '[1]HURDAT Query'!$A$1:$F$1030, 6, 0)</f>
        <v>NA</v>
      </c>
      <c r="G195" s="3" t="str">
        <f>_xlfn.IFNA(VLOOKUP(B195, '[1]Landfall Stats'!A:G, 7, 0), "No LF")</f>
        <v>No LF</v>
      </c>
      <c r="H195" s="3" t="str">
        <f>_xlfn.IFNA(VLOOKUP(B195, '[1]Landfall Stats'!A:G, 5, 0), "No LF")</f>
        <v>No LF</v>
      </c>
      <c r="I195" s="3" t="str">
        <f>_xlfn.IFNA(VLOOKUP(B195, '[1]Landfall Stats'!A:G, 6, 0), "No LF")</f>
        <v>No LF</v>
      </c>
      <c r="J195" s="4" t="s">
        <v>276</v>
      </c>
      <c r="K195" s="3">
        <v>0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2.75" customHeight="1" x14ac:dyDescent="0.2">
      <c r="A196" s="3">
        <v>1985</v>
      </c>
      <c r="B196" s="3" t="s">
        <v>282</v>
      </c>
      <c r="C196" s="3" t="str">
        <f>VLOOKUP($B196, '[1]HURDAT Query'!$A$1:$F$1030, 3, 0)</f>
        <v>GLORIA</v>
      </c>
      <c r="D196" s="3">
        <f>VLOOKUP($B196, '[1]HURDAT Query'!$A$1:$F$1030, 4, 0)</f>
        <v>4</v>
      </c>
      <c r="E196" s="3">
        <f>VLOOKUP($B196, '[1]HURDAT Query'!$A$1:$F$1030, 5, 0)</f>
        <v>125</v>
      </c>
      <c r="F196" s="3">
        <f>VLOOKUP($B196, '[1]HURDAT Query'!$A$1:$F$1030, 6, 0)</f>
        <v>920</v>
      </c>
      <c r="G196" s="3">
        <f>_xlfn.IFNA(VLOOKUP(B196, '[1]Landfall Stats'!A:G, 7, 0), "No LF")</f>
        <v>2</v>
      </c>
      <c r="H196" s="3">
        <f>_xlfn.IFNA(VLOOKUP(B196, '[1]Landfall Stats'!A:G, 5, 0), "No LF")</f>
        <v>90</v>
      </c>
      <c r="I196" s="3">
        <f>_xlfn.IFNA(VLOOKUP(B196, '[1]Landfall Stats'!A:G, 6, 0), "No LF")</f>
        <v>942</v>
      </c>
      <c r="J196" s="4" t="s">
        <v>283</v>
      </c>
      <c r="K196" s="3">
        <v>8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>
        <v>8</v>
      </c>
      <c r="AE196" s="3" t="s">
        <v>42</v>
      </c>
    </row>
    <row r="197" spans="1:31" ht="12.75" customHeight="1" x14ac:dyDescent="0.2">
      <c r="A197" s="3">
        <v>1985</v>
      </c>
      <c r="B197" s="3" t="s">
        <v>284</v>
      </c>
      <c r="C197" s="3" t="str">
        <f>VLOOKUP($B197, '[1]HURDAT Query'!$A$1:$F$1030, 3, 0)</f>
        <v>HENRI</v>
      </c>
      <c r="D197" s="3" t="str">
        <f>VLOOKUP($B197, '[1]HURDAT Query'!$A$1:$F$1030, 4, 0)</f>
        <v>NA</v>
      </c>
      <c r="E197" s="3" t="str">
        <f>VLOOKUP($B197, '[1]HURDAT Query'!$A$1:$F$1030, 5, 0)</f>
        <v>NA</v>
      </c>
      <c r="F197" s="3" t="str">
        <f>VLOOKUP($B197, '[1]HURDAT Query'!$A$1:$F$1030, 6, 0)</f>
        <v>NA</v>
      </c>
      <c r="G197" s="3" t="str">
        <f>_xlfn.IFNA(VLOOKUP(B197, '[1]Landfall Stats'!A:G, 7, 0), "No LF")</f>
        <v>No LF</v>
      </c>
      <c r="H197" s="3" t="str">
        <f>_xlfn.IFNA(VLOOKUP(B197, '[1]Landfall Stats'!A:G, 5, 0), "No LF")</f>
        <v>No LF</v>
      </c>
      <c r="I197" s="3" t="str">
        <f>_xlfn.IFNA(VLOOKUP(B197, '[1]Landfall Stats'!A:G, 6, 0), "No LF")</f>
        <v>No LF</v>
      </c>
      <c r="J197" s="4" t="s">
        <v>276</v>
      </c>
      <c r="K197" s="3">
        <v>0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2.75" customHeight="1" x14ac:dyDescent="0.2">
      <c r="A198" s="3">
        <v>1985</v>
      </c>
      <c r="B198" s="3" t="s">
        <v>285</v>
      </c>
      <c r="C198" s="3" t="str">
        <f>VLOOKUP($B198, '[1]HURDAT Query'!$A$1:$F$1030, 3, 0)</f>
        <v>ISABEL</v>
      </c>
      <c r="D198" s="3" t="str">
        <f>VLOOKUP($B198, '[1]HURDAT Query'!$A$1:$F$1030, 4, 0)</f>
        <v>NA</v>
      </c>
      <c r="E198" s="3" t="str">
        <f>VLOOKUP($B198, '[1]HURDAT Query'!$A$1:$F$1030, 5, 0)</f>
        <v>NA</v>
      </c>
      <c r="F198" s="3" t="str">
        <f>VLOOKUP($B198, '[1]HURDAT Query'!$A$1:$F$1030, 6, 0)</f>
        <v>NA</v>
      </c>
      <c r="G198" s="3" t="str">
        <f>_xlfn.IFNA(VLOOKUP(B198, '[1]Landfall Stats'!A:G, 7, 0), "No LF")</f>
        <v>No LF</v>
      </c>
      <c r="H198" s="3" t="str">
        <f>_xlfn.IFNA(VLOOKUP(B198, '[1]Landfall Stats'!A:G, 5, 0), "No LF")</f>
        <v>No LF</v>
      </c>
      <c r="I198" s="3" t="str">
        <f>_xlfn.IFNA(VLOOKUP(B198, '[1]Landfall Stats'!A:G, 6, 0), "No LF")</f>
        <v>No LF</v>
      </c>
      <c r="J198" s="4" t="s">
        <v>276</v>
      </c>
      <c r="K198" s="3">
        <v>0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2.75" customHeight="1" x14ac:dyDescent="0.2">
      <c r="A199" s="3">
        <v>1985</v>
      </c>
      <c r="B199" s="3" t="s">
        <v>286</v>
      </c>
      <c r="C199" s="3" t="str">
        <f>VLOOKUP($B199, '[1]HURDAT Query'!$A$1:$F$1030, 3, 0)</f>
        <v>JUAN</v>
      </c>
      <c r="D199" s="3">
        <f>VLOOKUP($B199, '[1]HURDAT Query'!$A$1:$F$1030, 4, 0)</f>
        <v>1</v>
      </c>
      <c r="E199" s="3">
        <f>VLOOKUP($B199, '[1]HURDAT Query'!$A$1:$F$1030, 5, 0)</f>
        <v>75</v>
      </c>
      <c r="F199" s="3">
        <f>VLOOKUP($B199, '[1]HURDAT Query'!$A$1:$F$1030, 6, 0)</f>
        <v>971</v>
      </c>
      <c r="G199" s="3">
        <f>_xlfn.IFNA(VLOOKUP(B199, '[1]Landfall Stats'!A:G, 7, 0), "No LF")</f>
        <v>1</v>
      </c>
      <c r="H199" s="3">
        <f>_xlfn.IFNA(VLOOKUP(B199, '[1]Landfall Stats'!A:G, 5, 0), "No LF")</f>
        <v>65</v>
      </c>
      <c r="I199" s="3">
        <f>_xlfn.IFNA(VLOOKUP(B199, '[1]Landfall Stats'!A:G, 6, 0), "No LF")</f>
        <v>974</v>
      </c>
      <c r="J199" s="4" t="s">
        <v>276</v>
      </c>
      <c r="K199" s="3">
        <v>12</v>
      </c>
      <c r="L199" s="3"/>
      <c r="M199" s="3"/>
      <c r="N199" s="3"/>
      <c r="O199" s="3"/>
      <c r="P199" s="3">
        <v>9</v>
      </c>
      <c r="Q199" s="3" t="s">
        <v>42</v>
      </c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>
        <v>3</v>
      </c>
      <c r="AE199" s="3" t="s">
        <v>42</v>
      </c>
    </row>
    <row r="200" spans="1:31" ht="12.75" customHeight="1" x14ac:dyDescent="0.2">
      <c r="A200" s="3">
        <v>1985</v>
      </c>
      <c r="B200" s="3" t="s">
        <v>287</v>
      </c>
      <c r="C200" s="3" t="str">
        <f>VLOOKUP($B200, '[1]HURDAT Query'!$A$1:$F$1030, 3, 0)</f>
        <v>KATE</v>
      </c>
      <c r="D200" s="3">
        <f>VLOOKUP($B200, '[1]HURDAT Query'!$A$1:$F$1030, 4, 0)</f>
        <v>3</v>
      </c>
      <c r="E200" s="3">
        <f>VLOOKUP($B200, '[1]HURDAT Query'!$A$1:$F$1030, 5, 0)</f>
        <v>105</v>
      </c>
      <c r="F200" s="3">
        <f>VLOOKUP($B200, '[1]HURDAT Query'!$A$1:$F$1030, 6, 0)</f>
        <v>954</v>
      </c>
      <c r="G200" s="3">
        <f>_xlfn.IFNA(VLOOKUP(B200, '[1]Landfall Stats'!A:G, 7, 0), "No LF")</f>
        <v>2</v>
      </c>
      <c r="H200" s="3">
        <f>_xlfn.IFNA(VLOOKUP(B200, '[1]Landfall Stats'!A:G, 5, 0), "No LF")</f>
        <v>85</v>
      </c>
      <c r="I200" s="3">
        <f>_xlfn.IFNA(VLOOKUP(B200, '[1]Landfall Stats'!A:G, 6, 0), "No LF")</f>
        <v>967</v>
      </c>
      <c r="J200" s="4" t="s">
        <v>276</v>
      </c>
      <c r="K200" s="3">
        <v>5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5</v>
      </c>
      <c r="AE200" s="3" t="s">
        <v>42</v>
      </c>
    </row>
    <row r="201" spans="1:31" ht="12.75" customHeight="1" x14ac:dyDescent="0.2">
      <c r="A201" s="3">
        <v>1986</v>
      </c>
      <c r="B201" s="3" t="s">
        <v>288</v>
      </c>
      <c r="C201" s="3" t="str">
        <f>VLOOKUP($B201, '[1]HURDAT Query'!$A$1:$F$1030, 3, 0)</f>
        <v>ANDREW</v>
      </c>
      <c r="D201" s="3" t="str">
        <f>VLOOKUP($B201, '[1]HURDAT Query'!$A$1:$F$1030, 4, 0)</f>
        <v>NA</v>
      </c>
      <c r="E201" s="3" t="str">
        <f>VLOOKUP($B201, '[1]HURDAT Query'!$A$1:$F$1030, 5, 0)</f>
        <v>NA</v>
      </c>
      <c r="F201" s="3" t="str">
        <f>VLOOKUP($B201, '[1]HURDAT Query'!$A$1:$F$1030, 6, 0)</f>
        <v>NA</v>
      </c>
      <c r="G201" s="3" t="str">
        <f>_xlfn.IFNA(VLOOKUP(B201, '[1]Landfall Stats'!A:G, 7, 0), "No LF")</f>
        <v>No LF</v>
      </c>
      <c r="H201" s="3" t="str">
        <f>_xlfn.IFNA(VLOOKUP(B201, '[1]Landfall Stats'!A:G, 5, 0), "No LF")</f>
        <v>No LF</v>
      </c>
      <c r="I201" s="3" t="str">
        <f>_xlfn.IFNA(VLOOKUP(B201, '[1]Landfall Stats'!A:G, 6, 0), "No LF")</f>
        <v>No LF</v>
      </c>
      <c r="J201" s="4" t="s">
        <v>289</v>
      </c>
      <c r="K201" s="3">
        <v>1</v>
      </c>
      <c r="L201" s="3"/>
      <c r="M201" s="3"/>
      <c r="N201" s="3"/>
      <c r="O201" s="3"/>
      <c r="P201" s="3"/>
      <c r="Q201" s="3"/>
      <c r="R201" s="3"/>
      <c r="S201" s="3"/>
      <c r="T201" s="3">
        <v>1</v>
      </c>
      <c r="U201" s="3" t="s">
        <v>290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2.75" customHeight="1" x14ac:dyDescent="0.2">
      <c r="A202" s="3">
        <v>1986</v>
      </c>
      <c r="B202" s="3" t="s">
        <v>291</v>
      </c>
      <c r="C202" s="3" t="str">
        <f>VLOOKUP($B202, '[1]HURDAT Query'!$A$1:$F$1030, 3, 0)</f>
        <v>BONNIE</v>
      </c>
      <c r="D202" s="3">
        <f>VLOOKUP($B202, '[1]HURDAT Query'!$A$1:$F$1030, 4, 0)</f>
        <v>1</v>
      </c>
      <c r="E202" s="3">
        <f>VLOOKUP($B202, '[1]HURDAT Query'!$A$1:$F$1030, 5, 0)</f>
        <v>75</v>
      </c>
      <c r="F202" s="3">
        <f>VLOOKUP($B202, '[1]HURDAT Query'!$A$1:$F$1030, 6, 0)</f>
        <v>990</v>
      </c>
      <c r="G202" s="3">
        <f>_xlfn.IFNA(VLOOKUP(B202, '[1]Landfall Stats'!A:G, 7, 0), "No LF")</f>
        <v>1</v>
      </c>
      <c r="H202" s="3">
        <f>_xlfn.IFNA(VLOOKUP(B202, '[1]Landfall Stats'!A:G, 5, 0), "No LF")</f>
        <v>75</v>
      </c>
      <c r="I202" s="3">
        <f>_xlfn.IFNA(VLOOKUP(B202, '[1]Landfall Stats'!A:G, 6, 0), "No LF")</f>
        <v>990</v>
      </c>
      <c r="J202" s="4" t="s">
        <v>292</v>
      </c>
      <c r="K202" s="3">
        <v>3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>
        <v>3</v>
      </c>
      <c r="AE202" s="3" t="s">
        <v>42</v>
      </c>
    </row>
    <row r="203" spans="1:31" ht="12.75" customHeight="1" x14ac:dyDescent="0.2">
      <c r="A203" s="3">
        <v>1986</v>
      </c>
      <c r="B203" s="3" t="s">
        <v>293</v>
      </c>
      <c r="C203" s="3" t="str">
        <f>VLOOKUP($B203, '[1]HURDAT Query'!$A$1:$F$1030, 3, 0)</f>
        <v>CHARLEY</v>
      </c>
      <c r="D203" s="3">
        <f>VLOOKUP($B203, '[1]HURDAT Query'!$A$1:$F$1030, 4, 0)</f>
        <v>1</v>
      </c>
      <c r="E203" s="3">
        <f>VLOOKUP($B203, '[1]HURDAT Query'!$A$1:$F$1030, 5, 0)</f>
        <v>70</v>
      </c>
      <c r="F203" s="3">
        <f>VLOOKUP($B203, '[1]HURDAT Query'!$A$1:$F$1030, 6, 0)</f>
        <v>987</v>
      </c>
      <c r="G203" s="3">
        <f>_xlfn.IFNA(VLOOKUP(B203, '[1]Landfall Stats'!A:G, 7, 0), "No LF")</f>
        <v>1</v>
      </c>
      <c r="H203" s="3">
        <f>_xlfn.IFNA(VLOOKUP(B203, '[1]Landfall Stats'!A:G, 5, 0), "No LF")</f>
        <v>65</v>
      </c>
      <c r="I203" s="3">
        <f>_xlfn.IFNA(VLOOKUP(B203, '[1]Landfall Stats'!A:G, 6, 0), "No LF")</f>
        <v>990</v>
      </c>
      <c r="J203" s="4" t="s">
        <v>292</v>
      </c>
      <c r="K203" s="3">
        <v>5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>
        <v>5</v>
      </c>
      <c r="AE203" s="3" t="s">
        <v>42</v>
      </c>
    </row>
    <row r="204" spans="1:31" ht="12.75" customHeight="1" x14ac:dyDescent="0.2">
      <c r="A204" s="3">
        <v>1986</v>
      </c>
      <c r="B204" s="3" t="s">
        <v>294</v>
      </c>
      <c r="C204" s="3" t="str">
        <f>VLOOKUP($B204, '[1]HURDAT Query'!$A$1:$F$1030, 3, 0)</f>
        <v>DANIELLE</v>
      </c>
      <c r="D204" s="3" t="str">
        <f>VLOOKUP($B204, '[1]HURDAT Query'!$A$1:$F$1030, 4, 0)</f>
        <v>NA</v>
      </c>
      <c r="E204" s="3" t="str">
        <f>VLOOKUP($B204, '[1]HURDAT Query'!$A$1:$F$1030, 5, 0)</f>
        <v>NA</v>
      </c>
      <c r="F204" s="3" t="str">
        <f>VLOOKUP($B204, '[1]HURDAT Query'!$A$1:$F$1030, 6, 0)</f>
        <v>NA</v>
      </c>
      <c r="G204" s="3" t="str">
        <f>_xlfn.IFNA(VLOOKUP(B204, '[1]Landfall Stats'!A:G, 7, 0), "No LF")</f>
        <v>No LF</v>
      </c>
      <c r="H204" s="3" t="str">
        <f>_xlfn.IFNA(VLOOKUP(B204, '[1]Landfall Stats'!A:G, 5, 0), "No LF")</f>
        <v>No LF</v>
      </c>
      <c r="I204" s="3" t="str">
        <f>_xlfn.IFNA(VLOOKUP(B204, '[1]Landfall Stats'!A:G, 6, 0), "No LF")</f>
        <v>No LF</v>
      </c>
      <c r="J204" s="4" t="s">
        <v>292</v>
      </c>
      <c r="K204" s="3">
        <v>0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2.75" customHeight="1" x14ac:dyDescent="0.2">
      <c r="A205" s="3">
        <v>1986</v>
      </c>
      <c r="B205" s="3" t="s">
        <v>295</v>
      </c>
      <c r="C205" s="3" t="str">
        <f>VLOOKUP($B205, '[1]HURDAT Query'!$A$1:$F$1030, 3, 0)</f>
        <v>EARL</v>
      </c>
      <c r="D205" s="3">
        <f>VLOOKUP($B205, '[1]HURDAT Query'!$A$1:$F$1030, 4, 0)</f>
        <v>2</v>
      </c>
      <c r="E205" s="3">
        <f>VLOOKUP($B205, '[1]HURDAT Query'!$A$1:$F$1030, 5, 0)</f>
        <v>90</v>
      </c>
      <c r="F205" s="3">
        <f>VLOOKUP($B205, '[1]HURDAT Query'!$A$1:$F$1030, 6, 0)</f>
        <v>979</v>
      </c>
      <c r="G205" s="3" t="str">
        <f>_xlfn.IFNA(VLOOKUP(B205, '[1]Landfall Stats'!A:G, 7, 0), "No LF")</f>
        <v>No LF</v>
      </c>
      <c r="H205" s="3" t="str">
        <f>_xlfn.IFNA(VLOOKUP(B205, '[1]Landfall Stats'!A:G, 5, 0), "No LF")</f>
        <v>No LF</v>
      </c>
      <c r="I205" s="3" t="str">
        <f>_xlfn.IFNA(VLOOKUP(B205, '[1]Landfall Stats'!A:G, 6, 0), "No LF")</f>
        <v>No LF</v>
      </c>
      <c r="J205" s="4" t="s">
        <v>292</v>
      </c>
      <c r="K205" s="3">
        <v>0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2.75" customHeight="1" x14ac:dyDescent="0.2">
      <c r="A206" s="3">
        <v>1986</v>
      </c>
      <c r="B206" s="3" t="s">
        <v>296</v>
      </c>
      <c r="C206" s="3" t="str">
        <f>VLOOKUP($B206, '[1]HURDAT Query'!$A$1:$F$1030, 3, 0)</f>
        <v>FRANCES</v>
      </c>
      <c r="D206" s="3">
        <f>VLOOKUP($B206, '[1]HURDAT Query'!$A$1:$F$1030, 4, 0)</f>
        <v>1</v>
      </c>
      <c r="E206" s="3">
        <f>VLOOKUP($B206, '[1]HURDAT Query'!$A$1:$F$1030, 5, 0)</f>
        <v>75</v>
      </c>
      <c r="F206" s="3">
        <f>VLOOKUP($B206, '[1]HURDAT Query'!$A$1:$F$1030, 6, 0)</f>
        <v>1000</v>
      </c>
      <c r="G206" s="3" t="str">
        <f>_xlfn.IFNA(VLOOKUP(B206, '[1]Landfall Stats'!A:G, 7, 0), "No LF")</f>
        <v>No LF</v>
      </c>
      <c r="H206" s="3" t="str">
        <f>_xlfn.IFNA(VLOOKUP(B206, '[1]Landfall Stats'!A:G, 5, 0), "No LF")</f>
        <v>No LF</v>
      </c>
      <c r="I206" s="3" t="str">
        <f>_xlfn.IFNA(VLOOKUP(B206, '[1]Landfall Stats'!A:G, 6, 0), "No LF")</f>
        <v>No LF</v>
      </c>
      <c r="J206" s="4" t="s">
        <v>292</v>
      </c>
      <c r="K206" s="3">
        <v>0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2.75" customHeight="1" x14ac:dyDescent="0.2">
      <c r="A207" s="3">
        <v>1987</v>
      </c>
      <c r="B207" s="3" t="s">
        <v>297</v>
      </c>
      <c r="C207" s="3" t="str">
        <f>VLOOKUP($B207, '[1]HURDAT Query'!$A$1:$F$1030, 3, 0)</f>
        <v>ARLENE</v>
      </c>
      <c r="D207" s="3">
        <f>VLOOKUP($B207, '[1]HURDAT Query'!$A$1:$F$1030, 4, 0)</f>
        <v>1</v>
      </c>
      <c r="E207" s="3">
        <f>VLOOKUP($B207, '[1]HURDAT Query'!$A$1:$F$1030, 5, 0)</f>
        <v>65</v>
      </c>
      <c r="F207" s="3">
        <f>VLOOKUP($B207, '[1]HURDAT Query'!$A$1:$F$1030, 6, 0)</f>
        <v>987</v>
      </c>
      <c r="G207" s="3" t="str">
        <f>_xlfn.IFNA(VLOOKUP(B207, '[1]Landfall Stats'!A:G, 7, 0), "No LF")</f>
        <v>No LF</v>
      </c>
      <c r="H207" s="3" t="str">
        <f>_xlfn.IFNA(VLOOKUP(B207, '[1]Landfall Stats'!A:G, 5, 0), "No LF")</f>
        <v>No LF</v>
      </c>
      <c r="I207" s="3" t="str">
        <f>_xlfn.IFNA(VLOOKUP(B207, '[1]Landfall Stats'!A:G, 6, 0), "No LF")</f>
        <v>No LF</v>
      </c>
      <c r="J207" s="4" t="s">
        <v>298</v>
      </c>
      <c r="K207" s="3">
        <v>0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2.75" customHeight="1" x14ac:dyDescent="0.2">
      <c r="A208" s="3">
        <v>1987</v>
      </c>
      <c r="B208" s="3" t="s">
        <v>299</v>
      </c>
      <c r="C208" s="3" t="str">
        <f>VLOOKUP($B208, '[1]HURDAT Query'!$A$1:$F$1030, 3, 0)</f>
        <v>BRET</v>
      </c>
      <c r="D208" s="3" t="str">
        <f>VLOOKUP($B208, '[1]HURDAT Query'!$A$1:$F$1030, 4, 0)</f>
        <v>NA</v>
      </c>
      <c r="E208" s="3" t="str">
        <f>VLOOKUP($B208, '[1]HURDAT Query'!$A$1:$F$1030, 5, 0)</f>
        <v>NA</v>
      </c>
      <c r="F208" s="3" t="str">
        <f>VLOOKUP($B208, '[1]HURDAT Query'!$A$1:$F$1030, 6, 0)</f>
        <v>NA</v>
      </c>
      <c r="G208" s="3" t="str">
        <f>_xlfn.IFNA(VLOOKUP(B208, '[1]Landfall Stats'!A:G, 7, 0), "No LF")</f>
        <v>No LF</v>
      </c>
      <c r="H208" s="3" t="str">
        <f>_xlfn.IFNA(VLOOKUP(B208, '[1]Landfall Stats'!A:G, 5, 0), "No LF")</f>
        <v>No LF</v>
      </c>
      <c r="I208" s="3" t="str">
        <f>_xlfn.IFNA(VLOOKUP(B208, '[1]Landfall Stats'!A:G, 6, 0), "No LF")</f>
        <v>No LF</v>
      </c>
      <c r="J208" s="4" t="s">
        <v>300</v>
      </c>
      <c r="K208" s="3">
        <v>0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2.75" customHeight="1" x14ac:dyDescent="0.2">
      <c r="A209" s="3">
        <v>1987</v>
      </c>
      <c r="B209" s="3" t="s">
        <v>301</v>
      </c>
      <c r="C209" s="3" t="str">
        <f>VLOOKUP($B209, '[1]HURDAT Query'!$A$1:$F$1030, 3, 0)</f>
        <v>CINDY</v>
      </c>
      <c r="D209" s="3" t="str">
        <f>VLOOKUP($B209, '[1]HURDAT Query'!$A$1:$F$1030, 4, 0)</f>
        <v>NA</v>
      </c>
      <c r="E209" s="3" t="str">
        <f>VLOOKUP($B209, '[1]HURDAT Query'!$A$1:$F$1030, 5, 0)</f>
        <v>NA</v>
      </c>
      <c r="F209" s="3" t="str">
        <f>VLOOKUP($B209, '[1]HURDAT Query'!$A$1:$F$1030, 6, 0)</f>
        <v>NA</v>
      </c>
      <c r="G209" s="3" t="str">
        <f>_xlfn.IFNA(VLOOKUP(B209, '[1]Landfall Stats'!A:G, 7, 0), "No LF")</f>
        <v>No LF</v>
      </c>
      <c r="H209" s="3" t="str">
        <f>_xlfn.IFNA(VLOOKUP(B209, '[1]Landfall Stats'!A:G, 5, 0), "No LF")</f>
        <v>No LF</v>
      </c>
      <c r="I209" s="3" t="str">
        <f>_xlfn.IFNA(VLOOKUP(B209, '[1]Landfall Stats'!A:G, 6, 0), "No LF")</f>
        <v>No LF</v>
      </c>
      <c r="J209" s="4" t="s">
        <v>300</v>
      </c>
      <c r="K209" s="3">
        <v>0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2.75" customHeight="1" x14ac:dyDescent="0.2">
      <c r="A210" s="3">
        <v>1987</v>
      </c>
      <c r="B210" s="3" t="s">
        <v>302</v>
      </c>
      <c r="C210" s="3" t="str">
        <f>VLOOKUP($B210, '[1]HURDAT Query'!$A$1:$F$1030, 3, 0)</f>
        <v>DENNIS</v>
      </c>
      <c r="D210" s="3" t="str">
        <f>VLOOKUP($B210, '[1]HURDAT Query'!$A$1:$F$1030, 4, 0)</f>
        <v>NA</v>
      </c>
      <c r="E210" s="3" t="str">
        <f>VLOOKUP($B210, '[1]HURDAT Query'!$A$1:$F$1030, 5, 0)</f>
        <v>NA</v>
      </c>
      <c r="F210" s="3" t="str">
        <f>VLOOKUP($B210, '[1]HURDAT Query'!$A$1:$F$1030, 6, 0)</f>
        <v>NA</v>
      </c>
      <c r="G210" s="3" t="str">
        <f>_xlfn.IFNA(VLOOKUP(B210, '[1]Landfall Stats'!A:G, 7, 0), "No LF")</f>
        <v>No LF</v>
      </c>
      <c r="H210" s="3" t="str">
        <f>_xlfn.IFNA(VLOOKUP(B210, '[1]Landfall Stats'!A:G, 5, 0), "No LF")</f>
        <v>No LF</v>
      </c>
      <c r="I210" s="3" t="str">
        <f>_xlfn.IFNA(VLOOKUP(B210, '[1]Landfall Stats'!A:G, 6, 0), "No LF")</f>
        <v>No LF</v>
      </c>
      <c r="J210" s="4" t="s">
        <v>300</v>
      </c>
      <c r="K210" s="3">
        <v>0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2.75" customHeight="1" x14ac:dyDescent="0.2">
      <c r="A211" s="3">
        <v>1987</v>
      </c>
      <c r="B211" s="3" t="s">
        <v>303</v>
      </c>
      <c r="C211" s="3" t="str">
        <f>VLOOKUP($B211, '[1]HURDAT Query'!$A$1:$F$1030, 3, 0)</f>
        <v>EMILY</v>
      </c>
      <c r="D211" s="3">
        <f>VLOOKUP($B211, '[1]HURDAT Query'!$A$1:$F$1030, 4, 0)</f>
        <v>3</v>
      </c>
      <c r="E211" s="3">
        <f>VLOOKUP($B211, '[1]HURDAT Query'!$A$1:$F$1030, 5, 0)</f>
        <v>110</v>
      </c>
      <c r="F211" s="3">
        <f>VLOOKUP($B211, '[1]HURDAT Query'!$A$1:$F$1030, 6, 0)</f>
        <v>958</v>
      </c>
      <c r="G211" s="3" t="str">
        <f>_xlfn.IFNA(VLOOKUP(B211, '[1]Landfall Stats'!A:G, 7, 0), "No LF")</f>
        <v>No LF</v>
      </c>
      <c r="H211" s="3" t="str">
        <f>_xlfn.IFNA(VLOOKUP(B211, '[1]Landfall Stats'!A:G, 5, 0), "No LF")</f>
        <v>No LF</v>
      </c>
      <c r="I211" s="3" t="str">
        <f>_xlfn.IFNA(VLOOKUP(B211, '[1]Landfall Stats'!A:G, 6, 0), "No LF")</f>
        <v>No LF</v>
      </c>
      <c r="J211" s="4" t="s">
        <v>300</v>
      </c>
      <c r="K211" s="3">
        <v>0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2.75" customHeight="1" x14ac:dyDescent="0.2">
      <c r="A212" s="3">
        <v>1987</v>
      </c>
      <c r="B212" s="3" t="s">
        <v>304</v>
      </c>
      <c r="C212" s="3" t="str">
        <f>VLOOKUP($B212, '[1]HURDAT Query'!$A$1:$F$1030, 3, 0)</f>
        <v>FLOYD</v>
      </c>
      <c r="D212" s="3">
        <f>VLOOKUP($B212, '[1]HURDAT Query'!$A$1:$F$1030, 4, 0)</f>
        <v>1</v>
      </c>
      <c r="E212" s="3">
        <f>VLOOKUP($B212, '[1]HURDAT Query'!$A$1:$F$1030, 5, 0)</f>
        <v>65</v>
      </c>
      <c r="F212" s="3">
        <f>VLOOKUP($B212, '[1]HURDAT Query'!$A$1:$F$1030, 6, 0)</f>
        <v>993</v>
      </c>
      <c r="G212" s="3">
        <f>_xlfn.IFNA(VLOOKUP(B212, '[1]Landfall Stats'!A:G, 7, 0), "No LF")</f>
        <v>1</v>
      </c>
      <c r="H212" s="3">
        <f>_xlfn.IFNA(VLOOKUP(B212, '[1]Landfall Stats'!A:G, 5, 0), "No LF")</f>
        <v>65</v>
      </c>
      <c r="I212" s="3">
        <f>_xlfn.IFNA(VLOOKUP(B212, '[1]Landfall Stats'!A:G, 6, 0), "No LF")</f>
        <v>993</v>
      </c>
      <c r="J212" s="4" t="s">
        <v>300</v>
      </c>
      <c r="K212" s="3">
        <v>0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2.75" customHeight="1" x14ac:dyDescent="0.2">
      <c r="A213" s="3">
        <v>1988</v>
      </c>
      <c r="B213" s="3" t="s">
        <v>305</v>
      </c>
      <c r="C213" s="3" t="str">
        <f>VLOOKUP($B213, '[1]HURDAT Query'!$A$1:$F$1030, 3, 0)</f>
        <v>ALBERTO</v>
      </c>
      <c r="D213" s="3" t="str">
        <f>VLOOKUP($B213, '[1]HURDAT Query'!$A$1:$F$1030, 4, 0)</f>
        <v>NA</v>
      </c>
      <c r="E213" s="3" t="str">
        <f>VLOOKUP($B213, '[1]HURDAT Query'!$A$1:$F$1030, 5, 0)</f>
        <v>NA</v>
      </c>
      <c r="F213" s="3" t="str">
        <f>VLOOKUP($B213, '[1]HURDAT Query'!$A$1:$F$1030, 6, 0)</f>
        <v>NA</v>
      </c>
      <c r="G213" s="3" t="str">
        <f>_xlfn.IFNA(VLOOKUP(B213, '[1]Landfall Stats'!A:G, 7, 0), "No LF")</f>
        <v>No LF</v>
      </c>
      <c r="H213" s="3" t="str">
        <f>_xlfn.IFNA(VLOOKUP(B213, '[1]Landfall Stats'!A:G, 5, 0), "No LF")</f>
        <v>No LF</v>
      </c>
      <c r="I213" s="3" t="str">
        <f>_xlfn.IFNA(VLOOKUP(B213, '[1]Landfall Stats'!A:G, 6, 0), "No LF")</f>
        <v>No LF</v>
      </c>
      <c r="J213" s="4" t="s">
        <v>306</v>
      </c>
      <c r="K213" s="3">
        <v>0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2.75" customHeight="1" x14ac:dyDescent="0.2">
      <c r="A214" s="3">
        <v>1988</v>
      </c>
      <c r="B214" s="3" t="s">
        <v>307</v>
      </c>
      <c r="C214" s="3" t="str">
        <f>VLOOKUP($B214, '[1]HURDAT Query'!$A$1:$F$1030, 3, 0)</f>
        <v>BERYL</v>
      </c>
      <c r="D214" s="3" t="str">
        <f>VLOOKUP($B214, '[1]HURDAT Query'!$A$1:$F$1030, 4, 0)</f>
        <v>NA</v>
      </c>
      <c r="E214" s="3" t="str">
        <f>VLOOKUP($B214, '[1]HURDAT Query'!$A$1:$F$1030, 5, 0)</f>
        <v>NA</v>
      </c>
      <c r="F214" s="3" t="str">
        <f>VLOOKUP($B214, '[1]HURDAT Query'!$A$1:$F$1030, 6, 0)</f>
        <v>NA</v>
      </c>
      <c r="G214" s="3" t="str">
        <f>_xlfn.IFNA(VLOOKUP(B214, '[1]Landfall Stats'!A:G, 7, 0), "No LF")</f>
        <v>No LF</v>
      </c>
      <c r="H214" s="3" t="str">
        <f>_xlfn.IFNA(VLOOKUP(B214, '[1]Landfall Stats'!A:G, 5, 0), "No LF")</f>
        <v>No LF</v>
      </c>
      <c r="I214" s="3" t="str">
        <f>_xlfn.IFNA(VLOOKUP(B214, '[1]Landfall Stats'!A:G, 6, 0), "No LF")</f>
        <v>No LF</v>
      </c>
      <c r="J214" s="4" t="s">
        <v>306</v>
      </c>
      <c r="K214" s="3">
        <v>1</v>
      </c>
      <c r="L214" s="3"/>
      <c r="M214" s="3"/>
      <c r="N214" s="3"/>
      <c r="O214" s="3"/>
      <c r="P214" s="3"/>
      <c r="Q214" s="3"/>
      <c r="R214" s="3"/>
      <c r="S214" s="3"/>
      <c r="T214" s="3">
        <v>1</v>
      </c>
      <c r="U214" s="3" t="s">
        <v>308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4.25" customHeight="1" x14ac:dyDescent="0.2">
      <c r="A215" s="3">
        <v>1988</v>
      </c>
      <c r="B215" s="3" t="s">
        <v>309</v>
      </c>
      <c r="C215" s="3" t="str">
        <f>VLOOKUP($B215, '[1]HURDAT Query'!$A$1:$F$1030, 3, 0)</f>
        <v>CHRIS</v>
      </c>
      <c r="D215" s="3" t="str">
        <f>VLOOKUP($B215, '[1]HURDAT Query'!$A$1:$F$1030, 4, 0)</f>
        <v>NA</v>
      </c>
      <c r="E215" s="3" t="str">
        <f>VLOOKUP($B215, '[1]HURDAT Query'!$A$1:$F$1030, 5, 0)</f>
        <v>NA</v>
      </c>
      <c r="F215" s="3" t="str">
        <f>VLOOKUP($B215, '[1]HURDAT Query'!$A$1:$F$1030, 6, 0)</f>
        <v>NA</v>
      </c>
      <c r="G215" s="3" t="str">
        <f>_xlfn.IFNA(VLOOKUP(B215, '[1]Landfall Stats'!A:G, 7, 0), "No LF")</f>
        <v>No LF</v>
      </c>
      <c r="H215" s="3" t="str">
        <f>_xlfn.IFNA(VLOOKUP(B215, '[1]Landfall Stats'!A:G, 5, 0), "No LF")</f>
        <v>No LF</v>
      </c>
      <c r="I215" s="3" t="str">
        <f>_xlfn.IFNA(VLOOKUP(B215, '[1]Landfall Stats'!A:G, 6, 0), "No LF")</f>
        <v>No LF</v>
      </c>
      <c r="J215" s="4" t="s">
        <v>306</v>
      </c>
      <c r="K215" s="3">
        <v>4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>
        <v>1</v>
      </c>
      <c r="AA215" s="3" t="s">
        <v>310</v>
      </c>
      <c r="AB215" s="3"/>
      <c r="AC215" s="3"/>
      <c r="AD215" s="3">
        <v>3</v>
      </c>
      <c r="AE215" s="3" t="s">
        <v>42</v>
      </c>
    </row>
    <row r="216" spans="1:31" ht="12.75" customHeight="1" x14ac:dyDescent="0.2">
      <c r="A216" s="3">
        <v>1988</v>
      </c>
      <c r="B216" s="3" t="s">
        <v>311</v>
      </c>
      <c r="C216" s="3" t="str">
        <f>VLOOKUP($B216, '[1]HURDAT Query'!$A$1:$F$1030, 3, 0)</f>
        <v>DEBBY</v>
      </c>
      <c r="D216" s="3">
        <f>VLOOKUP($B216, '[1]HURDAT Query'!$A$1:$F$1030, 4, 0)</f>
        <v>1</v>
      </c>
      <c r="E216" s="3">
        <f>VLOOKUP($B216, '[1]HURDAT Query'!$A$1:$F$1030, 5, 0)</f>
        <v>65</v>
      </c>
      <c r="F216" s="3">
        <f>VLOOKUP($B216, '[1]HURDAT Query'!$A$1:$F$1030, 6, 0)</f>
        <v>987</v>
      </c>
      <c r="G216" s="3" t="str">
        <f>_xlfn.IFNA(VLOOKUP(B216, '[1]Landfall Stats'!A:G, 7, 0), "No LF")</f>
        <v>No LF</v>
      </c>
      <c r="H216" s="3" t="str">
        <f>_xlfn.IFNA(VLOOKUP(B216, '[1]Landfall Stats'!A:G, 5, 0), "No LF")</f>
        <v>No LF</v>
      </c>
      <c r="I216" s="3" t="str">
        <f>_xlfn.IFNA(VLOOKUP(B216, '[1]Landfall Stats'!A:G, 6, 0), "No LF")</f>
        <v>No LF</v>
      </c>
      <c r="J216" s="4" t="s">
        <v>306</v>
      </c>
      <c r="K216" s="3">
        <v>0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2.75" customHeight="1" x14ac:dyDescent="0.2">
      <c r="A217" s="3">
        <v>1988</v>
      </c>
      <c r="B217" s="3" t="s">
        <v>312</v>
      </c>
      <c r="C217" s="3" t="str">
        <f>VLOOKUP($B217, '[1]HURDAT Query'!$A$1:$F$1030, 3, 0)</f>
        <v>ERNESTO</v>
      </c>
      <c r="D217" s="3" t="str">
        <f>VLOOKUP($B217, '[1]HURDAT Query'!$A$1:$F$1030, 4, 0)</f>
        <v>NA</v>
      </c>
      <c r="E217" s="3" t="str">
        <f>VLOOKUP($B217, '[1]HURDAT Query'!$A$1:$F$1030, 5, 0)</f>
        <v>NA</v>
      </c>
      <c r="F217" s="3" t="str">
        <f>VLOOKUP($B217, '[1]HURDAT Query'!$A$1:$F$1030, 6, 0)</f>
        <v>NA</v>
      </c>
      <c r="G217" s="3" t="str">
        <f>_xlfn.IFNA(VLOOKUP(B217, '[1]Landfall Stats'!A:G, 7, 0), "No LF")</f>
        <v>No LF</v>
      </c>
      <c r="H217" s="3" t="str">
        <f>_xlfn.IFNA(VLOOKUP(B217, '[1]Landfall Stats'!A:G, 5, 0), "No LF")</f>
        <v>No LF</v>
      </c>
      <c r="I217" s="3" t="str">
        <f>_xlfn.IFNA(VLOOKUP(B217, '[1]Landfall Stats'!A:G, 6, 0), "No LF")</f>
        <v>No LF</v>
      </c>
      <c r="J217" s="4" t="s">
        <v>306</v>
      </c>
      <c r="K217" s="3">
        <v>0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2.75" customHeight="1" x14ac:dyDescent="0.2">
      <c r="A218" s="3">
        <v>1988</v>
      </c>
      <c r="B218" s="3" t="s">
        <v>313</v>
      </c>
      <c r="C218" s="3" t="str">
        <f>VLOOKUP($B218, '[1]HURDAT Query'!$A$1:$F$1030, 3, 0)</f>
        <v>FLORENCE</v>
      </c>
      <c r="D218" s="3">
        <f>VLOOKUP($B218, '[1]HURDAT Query'!$A$1:$F$1030, 4, 0)</f>
        <v>1</v>
      </c>
      <c r="E218" s="3">
        <f>VLOOKUP($B218, '[1]HURDAT Query'!$A$1:$F$1030, 5, 0)</f>
        <v>70</v>
      </c>
      <c r="F218" s="3">
        <f>VLOOKUP($B218, '[1]HURDAT Query'!$A$1:$F$1030, 6, 0)</f>
        <v>982</v>
      </c>
      <c r="G218" s="3">
        <f>_xlfn.IFNA(VLOOKUP(B218, '[1]Landfall Stats'!A:G, 7, 0), "No LF")</f>
        <v>1</v>
      </c>
      <c r="H218" s="3">
        <f>_xlfn.IFNA(VLOOKUP(B218, '[1]Landfall Stats'!A:G, 5, 0), "No LF")</f>
        <v>70</v>
      </c>
      <c r="I218" s="3">
        <f>_xlfn.IFNA(VLOOKUP(B218, '[1]Landfall Stats'!A:G, 6, 0), "No LF")</f>
        <v>984</v>
      </c>
      <c r="J218" s="4" t="s">
        <v>306</v>
      </c>
      <c r="K218" s="3">
        <v>1</v>
      </c>
      <c r="L218" s="3"/>
      <c r="M218" s="3"/>
      <c r="N218" s="3"/>
      <c r="O218" s="3"/>
      <c r="P218" s="3">
        <v>1</v>
      </c>
      <c r="Q218" s="3" t="s">
        <v>308</v>
      </c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2.75" customHeight="1" x14ac:dyDescent="0.2">
      <c r="A219" s="3">
        <v>1988</v>
      </c>
      <c r="B219" s="3" t="s">
        <v>314</v>
      </c>
      <c r="C219" s="3" t="str">
        <f>VLOOKUP($B219, '[1]HURDAT Query'!$A$1:$F$1030, 3, 0)</f>
        <v>GILBERT</v>
      </c>
      <c r="D219" s="3">
        <f>VLOOKUP($B219, '[1]HURDAT Query'!$A$1:$F$1030, 4, 0)</f>
        <v>5</v>
      </c>
      <c r="E219" s="3">
        <f>VLOOKUP($B219, '[1]HURDAT Query'!$A$1:$F$1030, 5, 0)</f>
        <v>160</v>
      </c>
      <c r="F219" s="3">
        <f>VLOOKUP($B219, '[1]HURDAT Query'!$A$1:$F$1030, 6, 0)</f>
        <v>888</v>
      </c>
      <c r="G219" s="3" t="str">
        <f>_xlfn.IFNA(VLOOKUP(B219, '[1]Landfall Stats'!A:G, 7, 0), "No LF")</f>
        <v>NA</v>
      </c>
      <c r="H219" s="3">
        <f>_xlfn.IFNA(VLOOKUP(B219, '[1]Landfall Stats'!A:G, 5, 0), "No LF")</f>
        <v>25</v>
      </c>
      <c r="I219" s="3">
        <f>_xlfn.IFNA(VLOOKUP(B219, '[1]Landfall Stats'!A:G, 6, 0), "No LF")</f>
        <v>1003</v>
      </c>
      <c r="J219" s="4" t="s">
        <v>306</v>
      </c>
      <c r="K219" s="3">
        <v>3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>
        <v>3</v>
      </c>
      <c r="AE219" s="3" t="s">
        <v>42</v>
      </c>
    </row>
    <row r="220" spans="1:31" ht="12.75" customHeight="1" x14ac:dyDescent="0.2">
      <c r="A220" s="3">
        <v>1988</v>
      </c>
      <c r="B220" s="3" t="s">
        <v>315</v>
      </c>
      <c r="C220" s="3" t="str">
        <f>VLOOKUP($B220, '[1]HURDAT Query'!$A$1:$F$1030, 3, 0)</f>
        <v>HELENE</v>
      </c>
      <c r="D220" s="3">
        <f>VLOOKUP($B220, '[1]HURDAT Query'!$A$1:$F$1030, 4, 0)</f>
        <v>4</v>
      </c>
      <c r="E220" s="3">
        <f>VLOOKUP($B220, '[1]HURDAT Query'!$A$1:$F$1030, 5, 0)</f>
        <v>125</v>
      </c>
      <c r="F220" s="3">
        <f>VLOOKUP($B220, '[1]HURDAT Query'!$A$1:$F$1030, 6, 0)</f>
        <v>938</v>
      </c>
      <c r="G220" s="3" t="str">
        <f>_xlfn.IFNA(VLOOKUP(B220, '[1]Landfall Stats'!A:G, 7, 0), "No LF")</f>
        <v>No LF</v>
      </c>
      <c r="H220" s="3" t="str">
        <f>_xlfn.IFNA(VLOOKUP(B220, '[1]Landfall Stats'!A:G, 5, 0), "No LF")</f>
        <v>No LF</v>
      </c>
      <c r="I220" s="3" t="str">
        <f>_xlfn.IFNA(VLOOKUP(B220, '[1]Landfall Stats'!A:G, 6, 0), "No LF")</f>
        <v>No LF</v>
      </c>
      <c r="J220" s="4" t="s">
        <v>306</v>
      </c>
      <c r="K220" s="3">
        <v>0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2.75" customHeight="1" x14ac:dyDescent="0.2">
      <c r="A221" s="3">
        <v>1988</v>
      </c>
      <c r="B221" s="3" t="s">
        <v>316</v>
      </c>
      <c r="C221" s="3" t="str">
        <f>VLOOKUP($B221, '[1]HURDAT Query'!$A$1:$F$1030, 3, 0)</f>
        <v>ISAAC</v>
      </c>
      <c r="D221" s="3" t="str">
        <f>VLOOKUP($B221, '[1]HURDAT Query'!$A$1:$F$1030, 4, 0)</f>
        <v>NA</v>
      </c>
      <c r="E221" s="3" t="str">
        <f>VLOOKUP($B221, '[1]HURDAT Query'!$A$1:$F$1030, 5, 0)</f>
        <v>NA</v>
      </c>
      <c r="F221" s="3" t="str">
        <f>VLOOKUP($B221, '[1]HURDAT Query'!$A$1:$F$1030, 6, 0)</f>
        <v>NA</v>
      </c>
      <c r="G221" s="3" t="str">
        <f>_xlfn.IFNA(VLOOKUP(B221, '[1]Landfall Stats'!A:G, 7, 0), "No LF")</f>
        <v>No LF</v>
      </c>
      <c r="H221" s="3" t="str">
        <f>_xlfn.IFNA(VLOOKUP(B221, '[1]Landfall Stats'!A:G, 5, 0), "No LF")</f>
        <v>No LF</v>
      </c>
      <c r="I221" s="3" t="str">
        <f>_xlfn.IFNA(VLOOKUP(B221, '[1]Landfall Stats'!A:G, 6, 0), "No LF")</f>
        <v>No LF</v>
      </c>
      <c r="J221" s="4" t="s">
        <v>306</v>
      </c>
      <c r="K221" s="3">
        <v>0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2.75" customHeight="1" x14ac:dyDescent="0.2">
      <c r="A222" s="3">
        <v>1988</v>
      </c>
      <c r="B222" s="3" t="s">
        <v>317</v>
      </c>
      <c r="C222" s="3" t="str">
        <f>VLOOKUP($B222, '[1]HURDAT Query'!$A$1:$F$1030, 3, 0)</f>
        <v>JOAN</v>
      </c>
      <c r="D222" s="3">
        <f>VLOOKUP($B222, '[1]HURDAT Query'!$A$1:$F$1030, 4, 0)</f>
        <v>4</v>
      </c>
      <c r="E222" s="3">
        <f>VLOOKUP($B222, '[1]HURDAT Query'!$A$1:$F$1030, 5, 0)</f>
        <v>125</v>
      </c>
      <c r="F222" s="3">
        <f>VLOOKUP($B222, '[1]HURDAT Query'!$A$1:$F$1030, 6, 0)</f>
        <v>932</v>
      </c>
      <c r="G222" s="3" t="str">
        <f>_xlfn.IFNA(VLOOKUP(B222, '[1]Landfall Stats'!A:G, 7, 0), "No LF")</f>
        <v>No LF</v>
      </c>
      <c r="H222" s="3" t="str">
        <f>_xlfn.IFNA(VLOOKUP(B222, '[1]Landfall Stats'!A:G, 5, 0), "No LF")</f>
        <v>No LF</v>
      </c>
      <c r="I222" s="3" t="str">
        <f>_xlfn.IFNA(VLOOKUP(B222, '[1]Landfall Stats'!A:G, 6, 0), "No LF")</f>
        <v>No LF</v>
      </c>
      <c r="J222" s="4" t="s">
        <v>306</v>
      </c>
      <c r="K222" s="3">
        <v>0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2.75" customHeight="1" x14ac:dyDescent="0.2">
      <c r="A223" s="3">
        <v>1988</v>
      </c>
      <c r="B223" s="3" t="s">
        <v>318</v>
      </c>
      <c r="C223" s="3" t="str">
        <f>VLOOKUP($B223, '[1]HURDAT Query'!$A$1:$F$1030, 3, 0)</f>
        <v>KEITH</v>
      </c>
      <c r="D223" s="3" t="str">
        <f>VLOOKUP($B223, '[1]HURDAT Query'!$A$1:$F$1030, 4, 0)</f>
        <v>NA</v>
      </c>
      <c r="E223" s="3" t="str">
        <f>VLOOKUP($B223, '[1]HURDAT Query'!$A$1:$F$1030, 5, 0)</f>
        <v>NA</v>
      </c>
      <c r="F223" s="3" t="str">
        <f>VLOOKUP($B223, '[1]HURDAT Query'!$A$1:$F$1030, 6, 0)</f>
        <v>NA</v>
      </c>
      <c r="G223" s="3" t="str">
        <f>_xlfn.IFNA(VLOOKUP(B223, '[1]Landfall Stats'!A:G, 7, 0), "No LF")</f>
        <v>No LF</v>
      </c>
      <c r="H223" s="3" t="str">
        <f>_xlfn.IFNA(VLOOKUP(B223, '[1]Landfall Stats'!A:G, 5, 0), "No LF")</f>
        <v>No LF</v>
      </c>
      <c r="I223" s="3" t="str">
        <f>_xlfn.IFNA(VLOOKUP(B223, '[1]Landfall Stats'!A:G, 6, 0), "No LF")</f>
        <v>No LF</v>
      </c>
      <c r="J223" s="4" t="s">
        <v>306</v>
      </c>
      <c r="K223" s="3">
        <v>0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2.75" customHeight="1" x14ac:dyDescent="0.2">
      <c r="A224" s="3">
        <v>1989</v>
      </c>
      <c r="B224" s="3" t="s">
        <v>319</v>
      </c>
      <c r="C224" s="3" t="str">
        <f>VLOOKUP($B224, '[1]HURDAT Query'!$A$1:$F$1030, 3, 0)</f>
        <v>ALLISON</v>
      </c>
      <c r="D224" s="3" t="str">
        <f>VLOOKUP($B224, '[1]HURDAT Query'!$A$1:$F$1030, 4, 0)</f>
        <v>NA</v>
      </c>
      <c r="E224" s="3" t="str">
        <f>VLOOKUP($B224, '[1]HURDAT Query'!$A$1:$F$1030, 5, 0)</f>
        <v>NA</v>
      </c>
      <c r="F224" s="3" t="str">
        <f>VLOOKUP($B224, '[1]HURDAT Query'!$A$1:$F$1030, 6, 0)</f>
        <v>NA</v>
      </c>
      <c r="G224" s="3" t="str">
        <f>_xlfn.IFNA(VLOOKUP(B224, '[1]Landfall Stats'!A:G, 7, 0), "No LF")</f>
        <v>NA</v>
      </c>
      <c r="H224" s="3">
        <f>_xlfn.IFNA(VLOOKUP(B224, '[1]Landfall Stats'!A:G, 5, 0), "No LF")</f>
        <v>40</v>
      </c>
      <c r="I224" s="3">
        <f>_xlfn.IFNA(VLOOKUP(B224, '[1]Landfall Stats'!A:G, 6, 0), "No LF")</f>
        <v>1002</v>
      </c>
      <c r="J224" s="4" t="s">
        <v>320</v>
      </c>
      <c r="K224" s="3">
        <v>11</v>
      </c>
      <c r="L224" s="3"/>
      <c r="M224" s="3"/>
      <c r="N224" s="3"/>
      <c r="O224" s="3"/>
      <c r="P224" s="3"/>
      <c r="Q224" s="3"/>
      <c r="R224" s="3"/>
      <c r="S224" s="3"/>
      <c r="T224" s="3">
        <v>11</v>
      </c>
      <c r="U224" s="3" t="s">
        <v>42</v>
      </c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2.75" customHeight="1" x14ac:dyDescent="0.2">
      <c r="A225" s="3">
        <v>1989</v>
      </c>
      <c r="B225" s="3" t="s">
        <v>321</v>
      </c>
      <c r="C225" s="3" t="str">
        <f>VLOOKUP($B225, '[1]HURDAT Query'!$A$1:$F$1030, 3, 0)</f>
        <v>BARRY</v>
      </c>
      <c r="D225" s="3" t="str">
        <f>VLOOKUP($B225, '[1]HURDAT Query'!$A$1:$F$1030, 4, 0)</f>
        <v>NA</v>
      </c>
      <c r="E225" s="3" t="str">
        <f>VLOOKUP($B225, '[1]HURDAT Query'!$A$1:$F$1030, 5, 0)</f>
        <v>NA</v>
      </c>
      <c r="F225" s="3" t="str">
        <f>VLOOKUP($B225, '[1]HURDAT Query'!$A$1:$F$1030, 6, 0)</f>
        <v>NA</v>
      </c>
      <c r="G225" s="3" t="str">
        <f>_xlfn.IFNA(VLOOKUP(B225, '[1]Landfall Stats'!A:G, 7, 0), "No LF")</f>
        <v>No LF</v>
      </c>
      <c r="H225" s="3" t="str">
        <f>_xlfn.IFNA(VLOOKUP(B225, '[1]Landfall Stats'!A:G, 5, 0), "No LF")</f>
        <v>No LF</v>
      </c>
      <c r="I225" s="3" t="str">
        <f>_xlfn.IFNA(VLOOKUP(B225, '[1]Landfall Stats'!A:G, 6, 0), "No LF")</f>
        <v>No LF</v>
      </c>
      <c r="J225" s="4" t="s">
        <v>322</v>
      </c>
      <c r="K225" s="3">
        <v>0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12.75" customHeight="1" x14ac:dyDescent="0.2">
      <c r="A226" s="3">
        <v>1989</v>
      </c>
      <c r="B226" s="3" t="s">
        <v>323</v>
      </c>
      <c r="C226" s="3" t="str">
        <f>VLOOKUP($B226, '[1]HURDAT Query'!$A$1:$F$1030, 3, 0)</f>
        <v>CHANTAL</v>
      </c>
      <c r="D226" s="3">
        <f>VLOOKUP($B226, '[1]HURDAT Query'!$A$1:$F$1030, 4, 0)</f>
        <v>1</v>
      </c>
      <c r="E226" s="3">
        <f>VLOOKUP($B226, '[1]HURDAT Query'!$A$1:$F$1030, 5, 0)</f>
        <v>70</v>
      </c>
      <c r="F226" s="3">
        <f>VLOOKUP($B226, '[1]HURDAT Query'!$A$1:$F$1030, 6, 0)</f>
        <v>984</v>
      </c>
      <c r="G226" s="3">
        <f>_xlfn.IFNA(VLOOKUP(B226, '[1]Landfall Stats'!A:G, 7, 0), "No LF")</f>
        <v>1</v>
      </c>
      <c r="H226" s="3">
        <f>_xlfn.IFNA(VLOOKUP(B226, '[1]Landfall Stats'!A:G, 5, 0), "No LF")</f>
        <v>70</v>
      </c>
      <c r="I226" s="3">
        <f>_xlfn.IFNA(VLOOKUP(B226, '[1]Landfall Stats'!A:G, 6, 0), "No LF")</f>
        <v>986</v>
      </c>
      <c r="J226" s="4" t="s">
        <v>320</v>
      </c>
      <c r="K226" s="3">
        <v>13</v>
      </c>
      <c r="L226" s="3"/>
      <c r="M226" s="3"/>
      <c r="N226" s="3"/>
      <c r="O226" s="3"/>
      <c r="P226" s="3"/>
      <c r="Q226" s="3"/>
      <c r="R226" s="3"/>
      <c r="S226" s="3"/>
      <c r="T226" s="3">
        <v>13</v>
      </c>
      <c r="U226" s="3" t="s">
        <v>42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2.75" customHeight="1" x14ac:dyDescent="0.2">
      <c r="A227" s="3">
        <v>1989</v>
      </c>
      <c r="B227" s="3" t="s">
        <v>324</v>
      </c>
      <c r="C227" s="3" t="str">
        <f>VLOOKUP($B227, '[1]HURDAT Query'!$A$1:$F$1030, 3, 0)</f>
        <v>DEAN</v>
      </c>
      <c r="D227" s="3">
        <f>VLOOKUP($B227, '[1]HURDAT Query'!$A$1:$F$1030, 4, 0)</f>
        <v>2</v>
      </c>
      <c r="E227" s="3">
        <f>VLOOKUP($B227, '[1]HURDAT Query'!$A$1:$F$1030, 5, 0)</f>
        <v>90</v>
      </c>
      <c r="F227" s="3">
        <f>VLOOKUP($B227, '[1]HURDAT Query'!$A$1:$F$1030, 6, 0)</f>
        <v>968</v>
      </c>
      <c r="G227" s="3" t="str">
        <f>_xlfn.IFNA(VLOOKUP(B227, '[1]Landfall Stats'!A:G, 7, 0), "No LF")</f>
        <v>No LF</v>
      </c>
      <c r="H227" s="3" t="str">
        <f>_xlfn.IFNA(VLOOKUP(B227, '[1]Landfall Stats'!A:G, 5, 0), "No LF")</f>
        <v>No LF</v>
      </c>
      <c r="I227" s="3" t="str">
        <f>_xlfn.IFNA(VLOOKUP(B227, '[1]Landfall Stats'!A:G, 6, 0), "No LF")</f>
        <v>No LF</v>
      </c>
      <c r="J227" s="4" t="s">
        <v>320</v>
      </c>
      <c r="K227" s="3">
        <v>0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2.75" customHeight="1" x14ac:dyDescent="0.2">
      <c r="A228" s="3">
        <v>1989</v>
      </c>
      <c r="B228" s="3" t="s">
        <v>325</v>
      </c>
      <c r="C228" s="3" t="str">
        <f>VLOOKUP($B228, '[1]HURDAT Query'!$A$1:$F$1030, 3, 0)</f>
        <v>ERIN</v>
      </c>
      <c r="D228" s="3">
        <f>VLOOKUP($B228, '[1]HURDAT Query'!$A$1:$F$1030, 4, 0)</f>
        <v>2</v>
      </c>
      <c r="E228" s="3">
        <f>VLOOKUP($B228, '[1]HURDAT Query'!$A$1:$F$1030, 5, 0)</f>
        <v>90</v>
      </c>
      <c r="F228" s="3">
        <f>VLOOKUP($B228, '[1]HURDAT Query'!$A$1:$F$1030, 6, 0)</f>
        <v>968</v>
      </c>
      <c r="G228" s="3" t="str">
        <f>_xlfn.IFNA(VLOOKUP(B228, '[1]Landfall Stats'!A:G, 7, 0), "No LF")</f>
        <v>No LF</v>
      </c>
      <c r="H228" s="3" t="str">
        <f>_xlfn.IFNA(VLOOKUP(B228, '[1]Landfall Stats'!A:G, 5, 0), "No LF")</f>
        <v>No LF</v>
      </c>
      <c r="I228" s="3" t="str">
        <f>_xlfn.IFNA(VLOOKUP(B228, '[1]Landfall Stats'!A:G, 6, 0), "No LF")</f>
        <v>No LF</v>
      </c>
      <c r="J228" s="4" t="s">
        <v>320</v>
      </c>
      <c r="K228" s="3">
        <v>0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2.75" customHeight="1" x14ac:dyDescent="0.2">
      <c r="A229" s="3">
        <v>1989</v>
      </c>
      <c r="B229" s="3" t="s">
        <v>326</v>
      </c>
      <c r="C229" s="3" t="str">
        <f>VLOOKUP($B229, '[1]HURDAT Query'!$A$1:$F$1030, 3, 0)</f>
        <v>FELIX</v>
      </c>
      <c r="D229" s="3">
        <f>VLOOKUP($B229, '[1]HURDAT Query'!$A$1:$F$1030, 4, 0)</f>
        <v>1</v>
      </c>
      <c r="E229" s="3">
        <f>VLOOKUP($B229, '[1]HURDAT Query'!$A$1:$F$1030, 5, 0)</f>
        <v>75</v>
      </c>
      <c r="F229" s="3">
        <f>VLOOKUP($B229, '[1]HURDAT Query'!$A$1:$F$1030, 6, 0)</f>
        <v>979</v>
      </c>
      <c r="G229" s="3" t="str">
        <f>_xlfn.IFNA(VLOOKUP(B229, '[1]Landfall Stats'!A:G, 7, 0), "No LF")</f>
        <v>No LF</v>
      </c>
      <c r="H229" s="3" t="str">
        <f>_xlfn.IFNA(VLOOKUP(B229, '[1]Landfall Stats'!A:G, 5, 0), "No LF")</f>
        <v>No LF</v>
      </c>
      <c r="I229" s="3" t="str">
        <f>_xlfn.IFNA(VLOOKUP(B229, '[1]Landfall Stats'!A:G, 6, 0), "No LF")</f>
        <v>No LF</v>
      </c>
      <c r="J229" s="4" t="s">
        <v>320</v>
      </c>
      <c r="K229" s="3">
        <v>0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2.75" customHeight="1" x14ac:dyDescent="0.2">
      <c r="A230" s="3">
        <v>1989</v>
      </c>
      <c r="B230" s="3" t="s">
        <v>327</v>
      </c>
      <c r="C230" s="3" t="str">
        <f>VLOOKUP($B230, '[1]HURDAT Query'!$A$1:$F$1030, 3, 0)</f>
        <v>GABRIELLE</v>
      </c>
      <c r="D230" s="3">
        <f>VLOOKUP($B230, '[1]HURDAT Query'!$A$1:$F$1030, 4, 0)</f>
        <v>4</v>
      </c>
      <c r="E230" s="3">
        <f>VLOOKUP($B230, '[1]HURDAT Query'!$A$1:$F$1030, 5, 0)</f>
        <v>125</v>
      </c>
      <c r="F230" s="3">
        <f>VLOOKUP($B230, '[1]HURDAT Query'!$A$1:$F$1030, 6, 0)</f>
        <v>935</v>
      </c>
      <c r="G230" s="3" t="str">
        <f>_xlfn.IFNA(VLOOKUP(B230, '[1]Landfall Stats'!A:G, 7, 0), "No LF")</f>
        <v>No LF</v>
      </c>
      <c r="H230" s="3" t="str">
        <f>_xlfn.IFNA(VLOOKUP(B230, '[1]Landfall Stats'!A:G, 5, 0), "No LF")</f>
        <v>No LF</v>
      </c>
      <c r="I230" s="3" t="str">
        <f>_xlfn.IFNA(VLOOKUP(B230, '[1]Landfall Stats'!A:G, 6, 0), "No LF")</f>
        <v>No LF</v>
      </c>
      <c r="J230" s="4" t="s">
        <v>320</v>
      </c>
      <c r="K230" s="3">
        <v>8</v>
      </c>
      <c r="L230" s="3">
        <v>4</v>
      </c>
      <c r="M230" s="3" t="s">
        <v>42</v>
      </c>
      <c r="N230" s="3"/>
      <c r="O230" s="3"/>
      <c r="P230" s="3">
        <v>4</v>
      </c>
      <c r="Q230" s="3" t="s">
        <v>42</v>
      </c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2.75" customHeight="1" x14ac:dyDescent="0.2">
      <c r="A231" s="3">
        <v>1989</v>
      </c>
      <c r="B231" s="3" t="s">
        <v>328</v>
      </c>
      <c r="C231" s="3" t="str">
        <f>VLOOKUP($B231, '[1]HURDAT Query'!$A$1:$F$1030, 3, 0)</f>
        <v>HUGO</v>
      </c>
      <c r="D231" s="3">
        <f>VLOOKUP($B231, '[1]HURDAT Query'!$A$1:$F$1030, 4, 0)</f>
        <v>5</v>
      </c>
      <c r="E231" s="3">
        <f>VLOOKUP($B231, '[1]HURDAT Query'!$A$1:$F$1030, 5, 0)</f>
        <v>140</v>
      </c>
      <c r="F231" s="3">
        <f>VLOOKUP($B231, '[1]HURDAT Query'!$A$1:$F$1030, 6, 0)</f>
        <v>918</v>
      </c>
      <c r="G231" s="3">
        <f>_xlfn.IFNA(VLOOKUP(B231, '[1]Landfall Stats'!A:G, 7, 0), "No LF")</f>
        <v>4</v>
      </c>
      <c r="H231" s="3">
        <f>_xlfn.IFNA(VLOOKUP(B231, '[1]Landfall Stats'!A:G, 5, 0), "No LF")</f>
        <v>120</v>
      </c>
      <c r="I231" s="3">
        <f>_xlfn.IFNA(VLOOKUP(B231, '[1]Landfall Stats'!A:G, 6, 0), "No LF")</f>
        <v>934</v>
      </c>
      <c r="J231" s="4" t="s">
        <v>255</v>
      </c>
      <c r="K231" s="3">
        <v>17</v>
      </c>
      <c r="L231" s="3">
        <v>1</v>
      </c>
      <c r="M231" s="3" t="s">
        <v>42</v>
      </c>
      <c r="N231" s="3">
        <v>2</v>
      </c>
      <c r="O231" s="3" t="s">
        <v>42</v>
      </c>
      <c r="P231" s="3"/>
      <c r="Q231" s="3"/>
      <c r="R231" s="3"/>
      <c r="S231" s="3"/>
      <c r="T231" s="3">
        <v>4</v>
      </c>
      <c r="U231" s="3" t="s">
        <v>42</v>
      </c>
      <c r="V231" s="3">
        <v>10</v>
      </c>
      <c r="W231" s="3" t="s">
        <v>42</v>
      </c>
      <c r="X231" s="3"/>
      <c r="Y231" s="3"/>
      <c r="Z231" s="3"/>
      <c r="AA231" s="3"/>
      <c r="AB231" s="3"/>
      <c r="AC231" s="3"/>
      <c r="AD231" s="3"/>
      <c r="AE231" s="3"/>
    </row>
    <row r="232" spans="1:31" ht="12.75" customHeight="1" x14ac:dyDescent="0.2">
      <c r="A232" s="3">
        <v>1989</v>
      </c>
      <c r="B232" s="3" t="s">
        <v>329</v>
      </c>
      <c r="C232" s="3" t="str">
        <f>VLOOKUP($B232, '[1]HURDAT Query'!$A$1:$F$1030, 3, 0)</f>
        <v>IRIS</v>
      </c>
      <c r="D232" s="3" t="str">
        <f>VLOOKUP($B232, '[1]HURDAT Query'!$A$1:$F$1030, 4, 0)</f>
        <v>NA</v>
      </c>
      <c r="E232" s="3" t="str">
        <f>VLOOKUP($B232, '[1]HURDAT Query'!$A$1:$F$1030, 5, 0)</f>
        <v>NA</v>
      </c>
      <c r="F232" s="3" t="str">
        <f>VLOOKUP($B232, '[1]HURDAT Query'!$A$1:$F$1030, 6, 0)</f>
        <v>NA</v>
      </c>
      <c r="G232" s="3" t="str">
        <f>_xlfn.IFNA(VLOOKUP(B232, '[1]Landfall Stats'!A:G, 7, 0), "No LF")</f>
        <v>No LF</v>
      </c>
      <c r="H232" s="3" t="str">
        <f>_xlfn.IFNA(VLOOKUP(B232, '[1]Landfall Stats'!A:G, 5, 0), "No LF")</f>
        <v>No LF</v>
      </c>
      <c r="I232" s="3" t="str">
        <f>_xlfn.IFNA(VLOOKUP(B232, '[1]Landfall Stats'!A:G, 6, 0), "No LF")</f>
        <v>No LF</v>
      </c>
      <c r="J232" s="4" t="s">
        <v>322</v>
      </c>
      <c r="K232" s="3">
        <v>0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2.75" customHeight="1" x14ac:dyDescent="0.2">
      <c r="A233" s="3">
        <v>1989</v>
      </c>
      <c r="B233" s="3" t="s">
        <v>330</v>
      </c>
      <c r="C233" s="3" t="str">
        <f>VLOOKUP($B233, '[1]HURDAT Query'!$A$1:$F$1030, 3, 0)</f>
        <v>JERRY</v>
      </c>
      <c r="D233" s="3">
        <f>VLOOKUP($B233, '[1]HURDAT Query'!$A$1:$F$1030, 4, 0)</f>
        <v>1</v>
      </c>
      <c r="E233" s="3">
        <f>VLOOKUP($B233, '[1]HURDAT Query'!$A$1:$F$1030, 5, 0)</f>
        <v>75</v>
      </c>
      <c r="F233" s="3">
        <f>VLOOKUP($B233, '[1]HURDAT Query'!$A$1:$F$1030, 6, 0)</f>
        <v>982</v>
      </c>
      <c r="G233" s="3">
        <f>_xlfn.IFNA(VLOOKUP(B233, '[1]Landfall Stats'!A:G, 7, 0), "No LF")</f>
        <v>1</v>
      </c>
      <c r="H233" s="3">
        <f>_xlfn.IFNA(VLOOKUP(B233, '[1]Landfall Stats'!A:G, 5, 0), "No LF")</f>
        <v>75</v>
      </c>
      <c r="I233" s="3">
        <f>_xlfn.IFNA(VLOOKUP(B233, '[1]Landfall Stats'!A:G, 6, 0), "No LF")</f>
        <v>983</v>
      </c>
      <c r="J233" s="4" t="s">
        <v>320</v>
      </c>
      <c r="K233" s="3">
        <v>3</v>
      </c>
      <c r="L233" s="3"/>
      <c r="M233" s="3"/>
      <c r="N233" s="3"/>
      <c r="O233" s="3"/>
      <c r="P233" s="3"/>
      <c r="Q233" s="3"/>
      <c r="R233" s="3"/>
      <c r="S233" s="3"/>
      <c r="T233" s="3">
        <v>3</v>
      </c>
      <c r="U233" s="3" t="s">
        <v>42</v>
      </c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2.75" customHeight="1" x14ac:dyDescent="0.2">
      <c r="A234" s="3">
        <v>1989</v>
      </c>
      <c r="B234" s="3" t="s">
        <v>331</v>
      </c>
      <c r="C234" s="3" t="str">
        <f>VLOOKUP($B234, '[1]HURDAT Query'!$A$1:$F$1030, 3, 0)</f>
        <v>KAREN</v>
      </c>
      <c r="D234" s="3" t="str">
        <f>VLOOKUP($B234, '[1]HURDAT Query'!$A$1:$F$1030, 4, 0)</f>
        <v>NA</v>
      </c>
      <c r="E234" s="3" t="str">
        <f>VLOOKUP($B234, '[1]HURDAT Query'!$A$1:$F$1030, 5, 0)</f>
        <v>NA</v>
      </c>
      <c r="F234" s="3" t="str">
        <f>VLOOKUP($B234, '[1]HURDAT Query'!$A$1:$F$1030, 6, 0)</f>
        <v>NA</v>
      </c>
      <c r="G234" s="3" t="str">
        <f>_xlfn.IFNA(VLOOKUP(B234, '[1]Landfall Stats'!A:G, 7, 0), "No LF")</f>
        <v>No LF</v>
      </c>
      <c r="H234" s="3" t="str">
        <f>_xlfn.IFNA(VLOOKUP(B234, '[1]Landfall Stats'!A:G, 5, 0), "No LF")</f>
        <v>No LF</v>
      </c>
      <c r="I234" s="3" t="str">
        <f>_xlfn.IFNA(VLOOKUP(B234, '[1]Landfall Stats'!A:G, 6, 0), "No LF")</f>
        <v>No LF</v>
      </c>
      <c r="J234" s="4" t="s">
        <v>320</v>
      </c>
      <c r="K234" s="3">
        <v>0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2.75" customHeight="1" x14ac:dyDescent="0.2">
      <c r="A235" s="3">
        <v>1990</v>
      </c>
      <c r="B235" s="3" t="s">
        <v>332</v>
      </c>
      <c r="C235" s="3" t="str">
        <f>VLOOKUP($B235, '[1]HURDAT Query'!$A$1:$F$1030, 3, 0)</f>
        <v>ARTHUR</v>
      </c>
      <c r="D235" s="3" t="str">
        <f>VLOOKUP($B235, '[1]HURDAT Query'!$A$1:$F$1030, 4, 0)</f>
        <v>NA</v>
      </c>
      <c r="E235" s="3" t="str">
        <f>VLOOKUP($B235, '[1]HURDAT Query'!$A$1:$F$1030, 5, 0)</f>
        <v>NA</v>
      </c>
      <c r="F235" s="3" t="str">
        <f>VLOOKUP($B235, '[1]HURDAT Query'!$A$1:$F$1030, 6, 0)</f>
        <v>NA</v>
      </c>
      <c r="G235" s="3" t="str">
        <f>_xlfn.IFNA(VLOOKUP(B235, '[1]Landfall Stats'!A:G, 7, 0), "No LF")</f>
        <v>No LF</v>
      </c>
      <c r="H235" s="3" t="str">
        <f>_xlfn.IFNA(VLOOKUP(B235, '[1]Landfall Stats'!A:G, 5, 0), "No LF")</f>
        <v>No LF</v>
      </c>
      <c r="I235" s="3" t="str">
        <f>_xlfn.IFNA(VLOOKUP(B235, '[1]Landfall Stats'!A:G, 6, 0), "No LF")</f>
        <v>No LF</v>
      </c>
      <c r="J235" s="4" t="s">
        <v>333</v>
      </c>
      <c r="K235" s="3">
        <v>0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2.75" customHeight="1" x14ac:dyDescent="0.2">
      <c r="A236" s="3">
        <v>1990</v>
      </c>
      <c r="B236" s="3" t="s">
        <v>334</v>
      </c>
      <c r="C236" s="3" t="str">
        <f>VLOOKUP($B236, '[1]HURDAT Query'!$A$1:$F$1030, 3, 0)</f>
        <v>BERTHA</v>
      </c>
      <c r="D236" s="3">
        <f>VLOOKUP($B236, '[1]HURDAT Query'!$A$1:$F$1030, 4, 0)</f>
        <v>1</v>
      </c>
      <c r="E236" s="3">
        <f>VLOOKUP($B236, '[1]HURDAT Query'!$A$1:$F$1030, 5, 0)</f>
        <v>70</v>
      </c>
      <c r="F236" s="3">
        <f>VLOOKUP($B236, '[1]HURDAT Query'!$A$1:$F$1030, 6, 0)</f>
        <v>973</v>
      </c>
      <c r="G236" s="3" t="str">
        <f>_xlfn.IFNA(VLOOKUP(B236, '[1]Landfall Stats'!A:G, 7, 0), "No LF")</f>
        <v>No LF</v>
      </c>
      <c r="H236" s="3" t="str">
        <f>_xlfn.IFNA(VLOOKUP(B236, '[1]Landfall Stats'!A:G, 5, 0), "No LF")</f>
        <v>No LF</v>
      </c>
      <c r="I236" s="3" t="str">
        <f>_xlfn.IFNA(VLOOKUP(B236, '[1]Landfall Stats'!A:G, 6, 0), "No LF")</f>
        <v>No LF</v>
      </c>
      <c r="J236" s="4" t="s">
        <v>333</v>
      </c>
      <c r="K236" s="3">
        <v>0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2.75" customHeight="1" x14ac:dyDescent="0.2">
      <c r="A237" s="3">
        <v>1990</v>
      </c>
      <c r="B237" s="3" t="s">
        <v>335</v>
      </c>
      <c r="C237" s="3" t="str">
        <f>VLOOKUP($B237, '[1]HURDAT Query'!$A$1:$F$1030, 3, 0)</f>
        <v>CESAR</v>
      </c>
      <c r="D237" s="3" t="str">
        <f>VLOOKUP($B237, '[1]HURDAT Query'!$A$1:$F$1030, 4, 0)</f>
        <v>NA</v>
      </c>
      <c r="E237" s="3" t="str">
        <f>VLOOKUP($B237, '[1]HURDAT Query'!$A$1:$F$1030, 5, 0)</f>
        <v>NA</v>
      </c>
      <c r="F237" s="3" t="str">
        <f>VLOOKUP($B237, '[1]HURDAT Query'!$A$1:$F$1030, 6, 0)</f>
        <v>NA</v>
      </c>
      <c r="G237" s="3" t="str">
        <f>_xlfn.IFNA(VLOOKUP(B237, '[1]Landfall Stats'!A:G, 7, 0), "No LF")</f>
        <v>No LF</v>
      </c>
      <c r="H237" s="3" t="str">
        <f>_xlfn.IFNA(VLOOKUP(B237, '[1]Landfall Stats'!A:G, 5, 0), "No LF")</f>
        <v>No LF</v>
      </c>
      <c r="I237" s="3" t="str">
        <f>_xlfn.IFNA(VLOOKUP(B237, '[1]Landfall Stats'!A:G, 6, 0), "No LF")</f>
        <v>No LF</v>
      </c>
      <c r="J237" s="4" t="s">
        <v>333</v>
      </c>
      <c r="K237" s="3">
        <v>0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2.75" customHeight="1" x14ac:dyDescent="0.2">
      <c r="A238" s="3">
        <v>1990</v>
      </c>
      <c r="B238" s="3" t="s">
        <v>336</v>
      </c>
      <c r="C238" s="3" t="str">
        <f>VLOOKUP($B238, '[1]HURDAT Query'!$A$1:$F$1030, 3, 0)</f>
        <v>DIANA</v>
      </c>
      <c r="D238" s="3">
        <f>VLOOKUP($B238, '[1]HURDAT Query'!$A$1:$F$1030, 4, 0)</f>
        <v>2</v>
      </c>
      <c r="E238" s="3">
        <f>VLOOKUP($B238, '[1]HURDAT Query'!$A$1:$F$1030, 5, 0)</f>
        <v>85</v>
      </c>
      <c r="F238" s="3">
        <f>VLOOKUP($B238, '[1]HURDAT Query'!$A$1:$F$1030, 6, 0)</f>
        <v>980</v>
      </c>
      <c r="G238" s="3" t="str">
        <f>_xlfn.IFNA(VLOOKUP(B238, '[1]Landfall Stats'!A:G, 7, 0), "No LF")</f>
        <v>No LF</v>
      </c>
      <c r="H238" s="3" t="str">
        <f>_xlfn.IFNA(VLOOKUP(B238, '[1]Landfall Stats'!A:G, 5, 0), "No LF")</f>
        <v>No LF</v>
      </c>
      <c r="I238" s="3" t="str">
        <f>_xlfn.IFNA(VLOOKUP(B238, '[1]Landfall Stats'!A:G, 6, 0), "No LF")</f>
        <v>No LF</v>
      </c>
      <c r="J238" s="4" t="s">
        <v>333</v>
      </c>
      <c r="K238" s="3">
        <v>0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2.75" customHeight="1" x14ac:dyDescent="0.2">
      <c r="A239" s="3">
        <v>1990</v>
      </c>
      <c r="B239" s="3" t="s">
        <v>337</v>
      </c>
      <c r="C239" s="3" t="str">
        <f>VLOOKUP($B239, '[1]HURDAT Query'!$A$1:$F$1030, 3, 0)</f>
        <v>EDOUARD</v>
      </c>
      <c r="D239" s="3" t="str">
        <f>VLOOKUP($B239, '[1]HURDAT Query'!$A$1:$F$1030, 4, 0)</f>
        <v>NA</v>
      </c>
      <c r="E239" s="3" t="str">
        <f>VLOOKUP($B239, '[1]HURDAT Query'!$A$1:$F$1030, 5, 0)</f>
        <v>NA</v>
      </c>
      <c r="F239" s="3" t="str">
        <f>VLOOKUP($B239, '[1]HURDAT Query'!$A$1:$F$1030, 6, 0)</f>
        <v>NA</v>
      </c>
      <c r="G239" s="3" t="str">
        <f>_xlfn.IFNA(VLOOKUP(B239, '[1]Landfall Stats'!A:G, 7, 0), "No LF")</f>
        <v>No LF</v>
      </c>
      <c r="H239" s="3" t="str">
        <f>_xlfn.IFNA(VLOOKUP(B239, '[1]Landfall Stats'!A:G, 5, 0), "No LF")</f>
        <v>No LF</v>
      </c>
      <c r="I239" s="3" t="str">
        <f>_xlfn.IFNA(VLOOKUP(B239, '[1]Landfall Stats'!A:G, 6, 0), "No LF")</f>
        <v>No LF</v>
      </c>
      <c r="J239" s="4" t="s">
        <v>333</v>
      </c>
      <c r="K239" s="3">
        <v>0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2.75" customHeight="1" x14ac:dyDescent="0.2">
      <c r="A240" s="3">
        <v>1990</v>
      </c>
      <c r="B240" s="3" t="s">
        <v>338</v>
      </c>
      <c r="C240" s="3" t="str">
        <f>VLOOKUP($B240, '[1]HURDAT Query'!$A$1:$F$1030, 3, 0)</f>
        <v>FRAN</v>
      </c>
      <c r="D240" s="3" t="str">
        <f>VLOOKUP($B240, '[1]HURDAT Query'!$A$1:$F$1030, 4, 0)</f>
        <v>NA</v>
      </c>
      <c r="E240" s="3" t="str">
        <f>VLOOKUP($B240, '[1]HURDAT Query'!$A$1:$F$1030, 5, 0)</f>
        <v>NA</v>
      </c>
      <c r="F240" s="3" t="str">
        <f>VLOOKUP($B240, '[1]HURDAT Query'!$A$1:$F$1030, 6, 0)</f>
        <v>NA</v>
      </c>
      <c r="G240" s="3" t="str">
        <f>_xlfn.IFNA(VLOOKUP(B240, '[1]Landfall Stats'!A:G, 7, 0), "No LF")</f>
        <v>No LF</v>
      </c>
      <c r="H240" s="3" t="str">
        <f>_xlfn.IFNA(VLOOKUP(B240, '[1]Landfall Stats'!A:G, 5, 0), "No LF")</f>
        <v>No LF</v>
      </c>
      <c r="I240" s="3" t="str">
        <f>_xlfn.IFNA(VLOOKUP(B240, '[1]Landfall Stats'!A:G, 6, 0), "No LF")</f>
        <v>No LF</v>
      </c>
      <c r="J240" s="4" t="s">
        <v>333</v>
      </c>
      <c r="K240" s="3">
        <v>0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2.75" customHeight="1" x14ac:dyDescent="0.2">
      <c r="A241" s="3">
        <v>1990</v>
      </c>
      <c r="B241" s="3" t="s">
        <v>339</v>
      </c>
      <c r="C241" s="3" t="str">
        <f>VLOOKUP($B241, '[1]HURDAT Query'!$A$1:$F$1030, 3, 0)</f>
        <v>GUSTAV</v>
      </c>
      <c r="D241" s="3">
        <f>VLOOKUP($B241, '[1]HURDAT Query'!$A$1:$F$1030, 4, 0)</f>
        <v>3</v>
      </c>
      <c r="E241" s="3">
        <f>VLOOKUP($B241, '[1]HURDAT Query'!$A$1:$F$1030, 5, 0)</f>
        <v>105</v>
      </c>
      <c r="F241" s="3">
        <f>VLOOKUP($B241, '[1]HURDAT Query'!$A$1:$F$1030, 6, 0)</f>
        <v>956</v>
      </c>
      <c r="G241" s="3" t="str">
        <f>_xlfn.IFNA(VLOOKUP(B241, '[1]Landfall Stats'!A:G, 7, 0), "No LF")</f>
        <v>No LF</v>
      </c>
      <c r="H241" s="3" t="str">
        <f>_xlfn.IFNA(VLOOKUP(B241, '[1]Landfall Stats'!A:G, 5, 0), "No LF")</f>
        <v>No LF</v>
      </c>
      <c r="I241" s="3" t="str">
        <f>_xlfn.IFNA(VLOOKUP(B241, '[1]Landfall Stats'!A:G, 6, 0), "No LF")</f>
        <v>No LF</v>
      </c>
      <c r="J241" s="4" t="s">
        <v>333</v>
      </c>
      <c r="K241" s="3">
        <v>0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2.75" customHeight="1" x14ac:dyDescent="0.2">
      <c r="A242" s="3">
        <v>1990</v>
      </c>
      <c r="B242" s="3" t="s">
        <v>340</v>
      </c>
      <c r="C242" s="3" t="str">
        <f>VLOOKUP($B242, '[1]HURDAT Query'!$A$1:$F$1030, 3, 0)</f>
        <v>HORTENSE</v>
      </c>
      <c r="D242" s="3" t="str">
        <f>VLOOKUP($B242, '[1]HURDAT Query'!$A$1:$F$1030, 4, 0)</f>
        <v>NA</v>
      </c>
      <c r="E242" s="3" t="str">
        <f>VLOOKUP($B242, '[1]HURDAT Query'!$A$1:$F$1030, 5, 0)</f>
        <v>NA</v>
      </c>
      <c r="F242" s="3" t="str">
        <f>VLOOKUP($B242, '[1]HURDAT Query'!$A$1:$F$1030, 6, 0)</f>
        <v>NA</v>
      </c>
      <c r="G242" s="3" t="str">
        <f>_xlfn.IFNA(VLOOKUP(B242, '[1]Landfall Stats'!A:G, 7, 0), "No LF")</f>
        <v>No LF</v>
      </c>
      <c r="H242" s="3" t="str">
        <f>_xlfn.IFNA(VLOOKUP(B242, '[1]Landfall Stats'!A:G, 5, 0), "No LF")</f>
        <v>No LF</v>
      </c>
      <c r="I242" s="3" t="str">
        <f>_xlfn.IFNA(VLOOKUP(B242, '[1]Landfall Stats'!A:G, 6, 0), "No LF")</f>
        <v>No LF</v>
      </c>
      <c r="J242" s="4" t="s">
        <v>333</v>
      </c>
      <c r="K242" s="3">
        <v>0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2.75" customHeight="1" x14ac:dyDescent="0.2">
      <c r="A243" s="3">
        <v>1990</v>
      </c>
      <c r="B243" s="3" t="s">
        <v>341</v>
      </c>
      <c r="C243" s="3" t="str">
        <f>VLOOKUP($B243, '[1]HURDAT Query'!$A$1:$F$1030, 3, 0)</f>
        <v>ISIDORE</v>
      </c>
      <c r="D243" s="3">
        <f>VLOOKUP($B243, '[1]HURDAT Query'!$A$1:$F$1030, 4, 0)</f>
        <v>2</v>
      </c>
      <c r="E243" s="3">
        <f>VLOOKUP($B243, '[1]HURDAT Query'!$A$1:$F$1030, 5, 0)</f>
        <v>85</v>
      </c>
      <c r="F243" s="3">
        <f>VLOOKUP($B243, '[1]HURDAT Query'!$A$1:$F$1030, 6, 0)</f>
        <v>978</v>
      </c>
      <c r="G243" s="3" t="str">
        <f>_xlfn.IFNA(VLOOKUP(B243, '[1]Landfall Stats'!A:G, 7, 0), "No LF")</f>
        <v>No LF</v>
      </c>
      <c r="H243" s="3" t="str">
        <f>_xlfn.IFNA(VLOOKUP(B243, '[1]Landfall Stats'!A:G, 5, 0), "No LF")</f>
        <v>No LF</v>
      </c>
      <c r="I243" s="3" t="str">
        <f>_xlfn.IFNA(VLOOKUP(B243, '[1]Landfall Stats'!A:G, 6, 0), "No LF")</f>
        <v>No LF</v>
      </c>
      <c r="J243" s="4" t="s">
        <v>333</v>
      </c>
      <c r="K243" s="3">
        <v>0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2.75" customHeight="1" x14ac:dyDescent="0.2">
      <c r="A244" s="3">
        <v>1990</v>
      </c>
      <c r="B244" s="3" t="s">
        <v>342</v>
      </c>
      <c r="C244" s="3" t="str">
        <f>VLOOKUP($B244, '[1]HURDAT Query'!$A$1:$F$1030, 3, 0)</f>
        <v>JOSEPHINE</v>
      </c>
      <c r="D244" s="3">
        <f>VLOOKUP($B244, '[1]HURDAT Query'!$A$1:$F$1030, 4, 0)</f>
        <v>1</v>
      </c>
      <c r="E244" s="3">
        <f>VLOOKUP($B244, '[1]HURDAT Query'!$A$1:$F$1030, 5, 0)</f>
        <v>75</v>
      </c>
      <c r="F244" s="3">
        <f>VLOOKUP($B244, '[1]HURDAT Query'!$A$1:$F$1030, 6, 0)</f>
        <v>980</v>
      </c>
      <c r="G244" s="3" t="str">
        <f>_xlfn.IFNA(VLOOKUP(B244, '[1]Landfall Stats'!A:G, 7, 0), "No LF")</f>
        <v>No LF</v>
      </c>
      <c r="H244" s="3" t="str">
        <f>_xlfn.IFNA(VLOOKUP(B244, '[1]Landfall Stats'!A:G, 5, 0), "No LF")</f>
        <v>No LF</v>
      </c>
      <c r="I244" s="3" t="str">
        <f>_xlfn.IFNA(VLOOKUP(B244, '[1]Landfall Stats'!A:G, 6, 0), "No LF")</f>
        <v>No LF</v>
      </c>
      <c r="J244" s="4" t="s">
        <v>333</v>
      </c>
      <c r="K244" s="3">
        <v>0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2.75" customHeight="1" x14ac:dyDescent="0.2">
      <c r="A245" s="3">
        <v>1990</v>
      </c>
      <c r="B245" s="3" t="s">
        <v>343</v>
      </c>
      <c r="C245" s="3" t="str">
        <f>VLOOKUP($B245, '[1]HURDAT Query'!$A$1:$F$1030, 3, 0)</f>
        <v>KLAUS</v>
      </c>
      <c r="D245" s="3">
        <f>VLOOKUP($B245, '[1]HURDAT Query'!$A$1:$F$1030, 4, 0)</f>
        <v>1</v>
      </c>
      <c r="E245" s="3">
        <f>VLOOKUP($B245, '[1]HURDAT Query'!$A$1:$F$1030, 5, 0)</f>
        <v>70</v>
      </c>
      <c r="F245" s="3">
        <f>VLOOKUP($B245, '[1]HURDAT Query'!$A$1:$F$1030, 6, 0)</f>
        <v>985</v>
      </c>
      <c r="G245" s="3" t="str">
        <f>_xlfn.IFNA(VLOOKUP(B245, '[1]Landfall Stats'!A:G, 7, 0), "No LF")</f>
        <v>No LF</v>
      </c>
      <c r="H245" s="3" t="str">
        <f>_xlfn.IFNA(VLOOKUP(B245, '[1]Landfall Stats'!A:G, 5, 0), "No LF")</f>
        <v>No LF</v>
      </c>
      <c r="I245" s="3" t="str">
        <f>_xlfn.IFNA(VLOOKUP(B245, '[1]Landfall Stats'!A:G, 6, 0), "No LF")</f>
        <v>No LF</v>
      </c>
      <c r="J245" s="4" t="s">
        <v>333</v>
      </c>
      <c r="K245" s="3">
        <v>0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2.75" customHeight="1" x14ac:dyDescent="0.2">
      <c r="A246" s="3">
        <v>1990</v>
      </c>
      <c r="B246" s="3" t="s">
        <v>344</v>
      </c>
      <c r="C246" s="3" t="str">
        <f>VLOOKUP($B246, '[1]HURDAT Query'!$A$1:$F$1030, 3, 0)</f>
        <v>LILI</v>
      </c>
      <c r="D246" s="3">
        <f>VLOOKUP($B246, '[1]HURDAT Query'!$A$1:$F$1030, 4, 0)</f>
        <v>1</v>
      </c>
      <c r="E246" s="3">
        <f>VLOOKUP($B246, '[1]HURDAT Query'!$A$1:$F$1030, 5, 0)</f>
        <v>65</v>
      </c>
      <c r="F246" s="3">
        <f>VLOOKUP($B246, '[1]HURDAT Query'!$A$1:$F$1030, 6, 0)</f>
        <v>987</v>
      </c>
      <c r="G246" s="3" t="str">
        <f>_xlfn.IFNA(VLOOKUP(B246, '[1]Landfall Stats'!A:G, 7, 0), "No LF")</f>
        <v>No LF</v>
      </c>
      <c r="H246" s="3" t="str">
        <f>_xlfn.IFNA(VLOOKUP(B246, '[1]Landfall Stats'!A:G, 5, 0), "No LF")</f>
        <v>No LF</v>
      </c>
      <c r="I246" s="3" t="str">
        <f>_xlfn.IFNA(VLOOKUP(B246, '[1]Landfall Stats'!A:G, 6, 0), "No LF")</f>
        <v>No LF</v>
      </c>
      <c r="J246" s="9" t="s">
        <v>345</v>
      </c>
      <c r="K246" s="3">
        <v>0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2.75" customHeight="1" x14ac:dyDescent="0.2">
      <c r="A247" s="3">
        <v>1990</v>
      </c>
      <c r="B247" s="3" t="s">
        <v>346</v>
      </c>
      <c r="C247" s="3" t="str">
        <f>VLOOKUP($B247, '[1]HURDAT Query'!$A$1:$F$1030, 3, 0)</f>
        <v>MARCO</v>
      </c>
      <c r="D247" s="3" t="str">
        <f>VLOOKUP($B247, '[1]HURDAT Query'!$A$1:$F$1030, 4, 0)</f>
        <v>NA</v>
      </c>
      <c r="E247" s="3" t="str">
        <f>VLOOKUP($B247, '[1]HURDAT Query'!$A$1:$F$1030, 5, 0)</f>
        <v>NA</v>
      </c>
      <c r="F247" s="3" t="str">
        <f>VLOOKUP($B247, '[1]HURDAT Query'!$A$1:$F$1030, 6, 0)</f>
        <v>NA</v>
      </c>
      <c r="G247" s="3" t="str">
        <f>_xlfn.IFNA(VLOOKUP(B247, '[1]Landfall Stats'!A:G, 7, 0), "No LF")</f>
        <v>NA</v>
      </c>
      <c r="H247" s="3">
        <f>_xlfn.IFNA(VLOOKUP(B247, '[1]Landfall Stats'!A:G, 5, 0), "No LF")</f>
        <v>55</v>
      </c>
      <c r="I247" s="3">
        <f>_xlfn.IFNA(VLOOKUP(B247, '[1]Landfall Stats'!A:G, 6, 0), "No LF")</f>
        <v>989</v>
      </c>
      <c r="J247" s="9" t="s">
        <v>345</v>
      </c>
      <c r="K247" s="3">
        <v>7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>
        <v>7</v>
      </c>
      <c r="AE247" s="3" t="s">
        <v>42</v>
      </c>
    </row>
    <row r="248" spans="1:31" ht="12.75" customHeight="1" x14ac:dyDescent="0.2">
      <c r="A248" s="3">
        <v>1990</v>
      </c>
      <c r="B248" s="3" t="s">
        <v>347</v>
      </c>
      <c r="C248" s="3" t="str">
        <f>VLOOKUP($B248, '[1]HURDAT Query'!$A$1:$F$1030, 3, 0)</f>
        <v>NANA</v>
      </c>
      <c r="D248" s="3">
        <f>VLOOKUP($B248, '[1]HURDAT Query'!$A$1:$F$1030, 4, 0)</f>
        <v>1</v>
      </c>
      <c r="E248" s="3">
        <f>VLOOKUP($B248, '[1]HURDAT Query'!$A$1:$F$1030, 5, 0)</f>
        <v>75</v>
      </c>
      <c r="F248" s="3">
        <f>VLOOKUP($B248, '[1]HURDAT Query'!$A$1:$F$1030, 6, 0)</f>
        <v>989</v>
      </c>
      <c r="G248" s="3" t="str">
        <f>_xlfn.IFNA(VLOOKUP(B248, '[1]Landfall Stats'!A:G, 7, 0), "No LF")</f>
        <v>No LF</v>
      </c>
      <c r="H248" s="3" t="str">
        <f>_xlfn.IFNA(VLOOKUP(B248, '[1]Landfall Stats'!A:G, 5, 0), "No LF")</f>
        <v>No LF</v>
      </c>
      <c r="I248" s="3" t="str">
        <f>_xlfn.IFNA(VLOOKUP(B248, '[1]Landfall Stats'!A:G, 6, 0), "No LF")</f>
        <v>No LF</v>
      </c>
      <c r="J248" s="9" t="s">
        <v>345</v>
      </c>
      <c r="K248" s="3">
        <v>0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2.75" customHeight="1" x14ac:dyDescent="0.2">
      <c r="A249" s="3">
        <v>1991</v>
      </c>
      <c r="B249" s="3" t="s">
        <v>348</v>
      </c>
      <c r="C249" s="3" t="str">
        <f>VLOOKUP($B249, '[1]HURDAT Query'!$A$1:$F$1030, 3, 0)</f>
        <v>ANA</v>
      </c>
      <c r="D249" s="3" t="str">
        <f>VLOOKUP($B249, '[1]HURDAT Query'!$A$1:$F$1030, 4, 0)</f>
        <v>NA</v>
      </c>
      <c r="E249" s="3" t="str">
        <f>VLOOKUP($B249, '[1]HURDAT Query'!$A$1:$F$1030, 5, 0)</f>
        <v>NA</v>
      </c>
      <c r="F249" s="3" t="str">
        <f>VLOOKUP($B249, '[1]HURDAT Query'!$A$1:$F$1030, 6, 0)</f>
        <v>NA</v>
      </c>
      <c r="G249" s="3" t="str">
        <f>_xlfn.IFNA(VLOOKUP(B249, '[1]Landfall Stats'!A:G, 7, 0), "No LF")</f>
        <v>NA</v>
      </c>
      <c r="H249" s="3">
        <f>_xlfn.IFNA(VLOOKUP(B249, '[1]Landfall Stats'!A:G, 5, 0), "No LF")</f>
        <v>20</v>
      </c>
      <c r="I249" s="3">
        <f>_xlfn.IFNA(VLOOKUP(B249, '[1]Landfall Stats'!A:G, 6, 0), "No LF")</f>
        <v>1012</v>
      </c>
      <c r="J249" s="4" t="s">
        <v>349</v>
      </c>
      <c r="K249" s="3">
        <v>1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 t="s">
        <v>42</v>
      </c>
    </row>
    <row r="250" spans="1:31" ht="12.75" customHeight="1" x14ac:dyDescent="0.2">
      <c r="A250" s="3">
        <v>1991</v>
      </c>
      <c r="B250" s="3" t="s">
        <v>350</v>
      </c>
      <c r="C250" s="3" t="str">
        <f>VLOOKUP($B250, '[1]HURDAT Query'!$A$1:$F$1030, 3, 0)</f>
        <v>BOB</v>
      </c>
      <c r="D250" s="3">
        <f>VLOOKUP($B250, '[1]HURDAT Query'!$A$1:$F$1030, 4, 0)</f>
        <v>3</v>
      </c>
      <c r="E250" s="3">
        <f>VLOOKUP($B250, '[1]HURDAT Query'!$A$1:$F$1030, 5, 0)</f>
        <v>100</v>
      </c>
      <c r="F250" s="3">
        <f>VLOOKUP($B250, '[1]HURDAT Query'!$A$1:$F$1030, 6, 0)</f>
        <v>950</v>
      </c>
      <c r="G250" s="3" t="str">
        <f>_xlfn.IFNA(VLOOKUP(B250, '[1]Landfall Stats'!A:G, 7, 0), "No LF")</f>
        <v>NA</v>
      </c>
      <c r="H250" s="3">
        <f>_xlfn.IFNA(VLOOKUP(B250, '[1]Landfall Stats'!A:G, 5, 0), "No LF")</f>
        <v>60</v>
      </c>
      <c r="I250" s="3">
        <f>_xlfn.IFNA(VLOOKUP(B250, '[1]Landfall Stats'!A:G, 6, 0), "No LF")</f>
        <v>981</v>
      </c>
      <c r="J250" s="4" t="s">
        <v>349</v>
      </c>
      <c r="K250" s="3">
        <v>17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>
        <v>17</v>
      </c>
      <c r="AE250" s="3" t="s">
        <v>42</v>
      </c>
    </row>
    <row r="251" spans="1:31" ht="12.75" customHeight="1" x14ac:dyDescent="0.2">
      <c r="A251" s="3">
        <v>1991</v>
      </c>
      <c r="B251" s="3" t="s">
        <v>351</v>
      </c>
      <c r="C251" s="3" t="str">
        <f>VLOOKUP($B251, '[1]HURDAT Query'!$A$1:$F$1030, 3, 0)</f>
        <v>CLAUDETTE</v>
      </c>
      <c r="D251" s="3">
        <f>VLOOKUP($B251, '[1]HURDAT Query'!$A$1:$F$1030, 4, 0)</f>
        <v>4</v>
      </c>
      <c r="E251" s="3">
        <f>VLOOKUP($B251, '[1]HURDAT Query'!$A$1:$F$1030, 5, 0)</f>
        <v>115</v>
      </c>
      <c r="F251" s="3">
        <f>VLOOKUP($B251, '[1]HURDAT Query'!$A$1:$F$1030, 6, 0)</f>
        <v>944</v>
      </c>
      <c r="G251" s="3" t="str">
        <f>_xlfn.IFNA(VLOOKUP(B251, '[1]Landfall Stats'!A:G, 7, 0), "No LF")</f>
        <v>No LF</v>
      </c>
      <c r="H251" s="3" t="str">
        <f>_xlfn.IFNA(VLOOKUP(B251, '[1]Landfall Stats'!A:G, 5, 0), "No LF")</f>
        <v>No LF</v>
      </c>
      <c r="I251" s="3" t="str">
        <f>_xlfn.IFNA(VLOOKUP(B251, '[1]Landfall Stats'!A:G, 6, 0), "No LF")</f>
        <v>No LF</v>
      </c>
      <c r="J251" s="4" t="s">
        <v>349</v>
      </c>
      <c r="K251" s="3">
        <v>0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2.75" customHeight="1" x14ac:dyDescent="0.2">
      <c r="A252" s="3">
        <v>1991</v>
      </c>
      <c r="B252" s="3" t="s">
        <v>352</v>
      </c>
      <c r="C252" s="3" t="str">
        <f>VLOOKUP($B252, '[1]HURDAT Query'!$A$1:$F$1030, 3, 0)</f>
        <v>DANNY</v>
      </c>
      <c r="D252" s="3" t="str">
        <f>VLOOKUP($B252, '[1]HURDAT Query'!$A$1:$F$1030, 4, 0)</f>
        <v>NA</v>
      </c>
      <c r="E252" s="3" t="str">
        <f>VLOOKUP($B252, '[1]HURDAT Query'!$A$1:$F$1030, 5, 0)</f>
        <v>NA</v>
      </c>
      <c r="F252" s="3" t="str">
        <f>VLOOKUP($B252, '[1]HURDAT Query'!$A$1:$F$1030, 6, 0)</f>
        <v>NA</v>
      </c>
      <c r="G252" s="3" t="str">
        <f>_xlfn.IFNA(VLOOKUP(B252, '[1]Landfall Stats'!A:G, 7, 0), "No LF")</f>
        <v>No LF</v>
      </c>
      <c r="H252" s="3" t="str">
        <f>_xlfn.IFNA(VLOOKUP(B252, '[1]Landfall Stats'!A:G, 5, 0), "No LF")</f>
        <v>No LF</v>
      </c>
      <c r="I252" s="3" t="str">
        <f>_xlfn.IFNA(VLOOKUP(B252, '[1]Landfall Stats'!A:G, 6, 0), "No LF")</f>
        <v>No LF</v>
      </c>
      <c r="J252" s="4" t="s">
        <v>349</v>
      </c>
      <c r="K252" s="3">
        <v>0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2.75" customHeight="1" x14ac:dyDescent="0.2">
      <c r="A253" s="3">
        <v>1991</v>
      </c>
      <c r="B253" s="3" t="s">
        <v>353</v>
      </c>
      <c r="C253" s="3" t="str">
        <f>VLOOKUP($B253, '[1]HURDAT Query'!$A$1:$F$1030, 3, 0)</f>
        <v>ERIKA</v>
      </c>
      <c r="D253" s="3" t="str">
        <f>VLOOKUP($B253, '[1]HURDAT Query'!$A$1:$F$1030, 4, 0)</f>
        <v>NA</v>
      </c>
      <c r="E253" s="3" t="str">
        <f>VLOOKUP($B253, '[1]HURDAT Query'!$A$1:$F$1030, 5, 0)</f>
        <v>NA</v>
      </c>
      <c r="F253" s="3" t="str">
        <f>VLOOKUP($B253, '[1]HURDAT Query'!$A$1:$F$1030, 6, 0)</f>
        <v>NA</v>
      </c>
      <c r="G253" s="3" t="str">
        <f>_xlfn.IFNA(VLOOKUP(B253, '[1]Landfall Stats'!A:G, 7, 0), "No LF")</f>
        <v>No LF</v>
      </c>
      <c r="H253" s="3" t="str">
        <f>_xlfn.IFNA(VLOOKUP(B253, '[1]Landfall Stats'!A:G, 5, 0), "No LF")</f>
        <v>No LF</v>
      </c>
      <c r="I253" s="3" t="str">
        <f>_xlfn.IFNA(VLOOKUP(B253, '[1]Landfall Stats'!A:G, 6, 0), "No LF")</f>
        <v>No LF</v>
      </c>
      <c r="J253" s="4" t="s">
        <v>349</v>
      </c>
      <c r="K253" s="3">
        <v>0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2.75" customHeight="1" x14ac:dyDescent="0.2">
      <c r="A254" s="3">
        <v>1991</v>
      </c>
      <c r="B254" s="3" t="s">
        <v>354</v>
      </c>
      <c r="C254" s="3" t="str">
        <f>VLOOKUP($B254, '[1]HURDAT Query'!$A$1:$F$1030, 3, 0)</f>
        <v>FABIAN</v>
      </c>
      <c r="D254" s="3" t="str">
        <f>VLOOKUP($B254, '[1]HURDAT Query'!$A$1:$F$1030, 4, 0)</f>
        <v>NA</v>
      </c>
      <c r="E254" s="3" t="str">
        <f>VLOOKUP($B254, '[1]HURDAT Query'!$A$1:$F$1030, 5, 0)</f>
        <v>NA</v>
      </c>
      <c r="F254" s="3" t="str">
        <f>VLOOKUP($B254, '[1]HURDAT Query'!$A$1:$F$1030, 6, 0)</f>
        <v>NA</v>
      </c>
      <c r="G254" s="3" t="str">
        <f>_xlfn.IFNA(VLOOKUP(B254, '[1]Landfall Stats'!A:G, 7, 0), "No LF")</f>
        <v>No LF</v>
      </c>
      <c r="H254" s="3" t="str">
        <f>_xlfn.IFNA(VLOOKUP(B254, '[1]Landfall Stats'!A:G, 5, 0), "No LF")</f>
        <v>No LF</v>
      </c>
      <c r="I254" s="3" t="str">
        <f>_xlfn.IFNA(VLOOKUP(B254, '[1]Landfall Stats'!A:G, 6, 0), "No LF")</f>
        <v>No LF</v>
      </c>
      <c r="J254" s="4" t="s">
        <v>349</v>
      </c>
      <c r="K254" s="3">
        <v>0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2.75" customHeight="1" x14ac:dyDescent="0.2">
      <c r="A255" s="3">
        <v>1991</v>
      </c>
      <c r="B255" s="3" t="s">
        <v>355</v>
      </c>
      <c r="C255" s="3" t="str">
        <f>VLOOKUP($B255, '[1]HURDAT Query'!$A$1:$F$1030, 3, 0)</f>
        <v>GRACE</v>
      </c>
      <c r="D255" s="3">
        <f>VLOOKUP($B255, '[1]HURDAT Query'!$A$1:$F$1030, 4, 0)</f>
        <v>2</v>
      </c>
      <c r="E255" s="3">
        <f>VLOOKUP($B255, '[1]HURDAT Query'!$A$1:$F$1030, 5, 0)</f>
        <v>90</v>
      </c>
      <c r="F255" s="3">
        <f>VLOOKUP($B255, '[1]HURDAT Query'!$A$1:$F$1030, 6, 0)</f>
        <v>980</v>
      </c>
      <c r="G255" s="3" t="str">
        <f>_xlfn.IFNA(VLOOKUP(B255, '[1]Landfall Stats'!A:G, 7, 0), "No LF")</f>
        <v>No LF</v>
      </c>
      <c r="H255" s="3" t="str">
        <f>_xlfn.IFNA(VLOOKUP(B255, '[1]Landfall Stats'!A:G, 5, 0), "No LF")</f>
        <v>No LF</v>
      </c>
      <c r="I255" s="3" t="str">
        <f>_xlfn.IFNA(VLOOKUP(B255, '[1]Landfall Stats'!A:G, 6, 0), "No LF")</f>
        <v>No LF</v>
      </c>
      <c r="J255" s="4" t="s">
        <v>349</v>
      </c>
      <c r="K255" s="3">
        <v>0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2.75" customHeight="1" x14ac:dyDescent="0.2">
      <c r="A256" s="3">
        <v>1992</v>
      </c>
      <c r="B256" s="3" t="s">
        <v>356</v>
      </c>
      <c r="C256" s="3" t="str">
        <f>VLOOKUP($B256, '[1]HURDAT Query'!$A$1:$F$1030, 3, 0)</f>
        <v>ANDREW</v>
      </c>
      <c r="D256" s="3">
        <f>VLOOKUP($B256, '[1]HURDAT Query'!$A$1:$F$1030, 4, 0)</f>
        <v>5</v>
      </c>
      <c r="E256" s="3">
        <f>VLOOKUP($B256, '[1]HURDAT Query'!$A$1:$F$1030, 5, 0)</f>
        <v>150</v>
      </c>
      <c r="F256" s="3">
        <f>VLOOKUP($B256, '[1]HURDAT Query'!$A$1:$F$1030, 6, 0)</f>
        <v>922</v>
      </c>
      <c r="G256" s="3">
        <f>_xlfn.IFNA(VLOOKUP(B256, '[1]Landfall Stats'!A:G, 7, 0), "No LF")</f>
        <v>5</v>
      </c>
      <c r="H256" s="3">
        <f>_xlfn.IFNA(VLOOKUP(B256, '[1]Landfall Stats'!A:G, 5, 0), "No LF")</f>
        <v>145</v>
      </c>
      <c r="I256" s="3">
        <f>_xlfn.IFNA(VLOOKUP(B256, '[1]Landfall Stats'!A:G, 6, 0), "No LF")</f>
        <v>922</v>
      </c>
      <c r="J256" s="4" t="s">
        <v>357</v>
      </c>
      <c r="K256" s="3">
        <v>26</v>
      </c>
      <c r="L256" s="3"/>
      <c r="M256" s="3"/>
      <c r="N256" s="3"/>
      <c r="O256" s="3"/>
      <c r="P256" s="3">
        <v>9</v>
      </c>
      <c r="Q256" s="3" t="s">
        <v>358</v>
      </c>
      <c r="R256" s="3"/>
      <c r="S256" s="3"/>
      <c r="T256" s="3"/>
      <c r="U256" s="3"/>
      <c r="V256" s="3">
        <v>12</v>
      </c>
      <c r="W256" s="3" t="s">
        <v>51</v>
      </c>
      <c r="X256" s="3"/>
      <c r="Y256" s="3"/>
      <c r="Z256" s="3">
        <v>2</v>
      </c>
      <c r="AA256" s="3" t="s">
        <v>37</v>
      </c>
      <c r="AB256" s="3"/>
      <c r="AC256" s="3"/>
      <c r="AD256" s="3">
        <v>3</v>
      </c>
      <c r="AE256" s="3" t="s">
        <v>42</v>
      </c>
    </row>
    <row r="257" spans="1:31" ht="12.75" customHeight="1" x14ac:dyDescent="0.2">
      <c r="A257" s="3">
        <v>1992</v>
      </c>
      <c r="B257" s="3" t="s">
        <v>359</v>
      </c>
      <c r="C257" s="3" t="str">
        <f>VLOOKUP($B257, '[1]HURDAT Query'!$A$1:$F$1030, 3, 0)</f>
        <v>BONNIE</v>
      </c>
      <c r="D257" s="3">
        <f>VLOOKUP($B257, '[1]HURDAT Query'!$A$1:$F$1030, 4, 0)</f>
        <v>2</v>
      </c>
      <c r="E257" s="3">
        <f>VLOOKUP($B257, '[1]HURDAT Query'!$A$1:$F$1030, 5, 0)</f>
        <v>95</v>
      </c>
      <c r="F257" s="3">
        <f>VLOOKUP($B257, '[1]HURDAT Query'!$A$1:$F$1030, 6, 0)</f>
        <v>965</v>
      </c>
      <c r="G257" s="3" t="str">
        <f>_xlfn.IFNA(VLOOKUP(B257, '[1]Landfall Stats'!A:G, 7, 0), "No LF")</f>
        <v>No LF</v>
      </c>
      <c r="H257" s="3" t="str">
        <f>_xlfn.IFNA(VLOOKUP(B257, '[1]Landfall Stats'!A:G, 5, 0), "No LF")</f>
        <v>No LF</v>
      </c>
      <c r="I257" s="3" t="str">
        <f>_xlfn.IFNA(VLOOKUP(B257, '[1]Landfall Stats'!A:G, 6, 0), "No LF")</f>
        <v>No LF</v>
      </c>
      <c r="J257" s="4" t="s">
        <v>360</v>
      </c>
      <c r="K257" s="3">
        <v>0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2.75" customHeight="1" x14ac:dyDescent="0.2">
      <c r="A258" s="3">
        <v>1992</v>
      </c>
      <c r="B258" s="3" t="s">
        <v>361</v>
      </c>
      <c r="C258" s="3" t="str">
        <f>VLOOKUP($B258, '[1]HURDAT Query'!$A$1:$F$1030, 3, 0)</f>
        <v>CHARLEY</v>
      </c>
      <c r="D258" s="3">
        <f>VLOOKUP($B258, '[1]HURDAT Query'!$A$1:$F$1030, 4, 0)</f>
        <v>2</v>
      </c>
      <c r="E258" s="3">
        <f>VLOOKUP($B258, '[1]HURDAT Query'!$A$1:$F$1030, 5, 0)</f>
        <v>95</v>
      </c>
      <c r="F258" s="3">
        <f>VLOOKUP($B258, '[1]HURDAT Query'!$A$1:$F$1030, 6, 0)</f>
        <v>965</v>
      </c>
      <c r="G258" s="3" t="str">
        <f>_xlfn.IFNA(VLOOKUP(B258, '[1]Landfall Stats'!A:G, 7, 0), "No LF")</f>
        <v>No LF</v>
      </c>
      <c r="H258" s="3" t="str">
        <f>_xlfn.IFNA(VLOOKUP(B258, '[1]Landfall Stats'!A:G, 5, 0), "No LF")</f>
        <v>No LF</v>
      </c>
      <c r="I258" s="3" t="str">
        <f>_xlfn.IFNA(VLOOKUP(B258, '[1]Landfall Stats'!A:G, 6, 0), "No LF")</f>
        <v>No LF</v>
      </c>
      <c r="J258" s="4" t="s">
        <v>360</v>
      </c>
      <c r="K258" s="3">
        <v>0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2.75" customHeight="1" x14ac:dyDescent="0.2">
      <c r="A259" s="3">
        <v>1992</v>
      </c>
      <c r="B259" s="3" t="s">
        <v>362</v>
      </c>
      <c r="C259" s="3" t="str">
        <f>VLOOKUP($B259, '[1]HURDAT Query'!$A$1:$F$1030, 3, 0)</f>
        <v>DANIELLE</v>
      </c>
      <c r="D259" s="3" t="str">
        <f>VLOOKUP($B259, '[1]HURDAT Query'!$A$1:$F$1030, 4, 0)</f>
        <v>NA</v>
      </c>
      <c r="E259" s="3" t="str">
        <f>VLOOKUP($B259, '[1]HURDAT Query'!$A$1:$F$1030, 5, 0)</f>
        <v>NA</v>
      </c>
      <c r="F259" s="3" t="str">
        <f>VLOOKUP($B259, '[1]HURDAT Query'!$A$1:$F$1030, 6, 0)</f>
        <v>NA</v>
      </c>
      <c r="G259" s="3" t="str">
        <f>_xlfn.IFNA(VLOOKUP(B259, '[1]Landfall Stats'!A:G, 7, 0), "No LF")</f>
        <v>No LF</v>
      </c>
      <c r="H259" s="3" t="str">
        <f>_xlfn.IFNA(VLOOKUP(B259, '[1]Landfall Stats'!A:G, 5, 0), "No LF")</f>
        <v>No LF</v>
      </c>
      <c r="I259" s="3" t="str">
        <f>_xlfn.IFNA(VLOOKUP(B259, '[1]Landfall Stats'!A:G, 6, 0), "No LF")</f>
        <v>No LF</v>
      </c>
      <c r="J259" s="4" t="s">
        <v>360</v>
      </c>
      <c r="K259" s="3">
        <v>1</v>
      </c>
      <c r="L259" s="3"/>
      <c r="M259" s="3"/>
      <c r="N259" s="3"/>
      <c r="O259" s="3"/>
      <c r="P259" s="3">
        <v>1</v>
      </c>
      <c r="Q259" s="3" t="s">
        <v>84</v>
      </c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2.75" customHeight="1" x14ac:dyDescent="0.2">
      <c r="A260" s="3">
        <v>1992</v>
      </c>
      <c r="B260" s="3" t="s">
        <v>363</v>
      </c>
      <c r="C260" s="3" t="str">
        <f>VLOOKUP($B260, '[1]HURDAT Query'!$A$1:$F$1030, 3, 0)</f>
        <v>EARL</v>
      </c>
      <c r="D260" s="3" t="str">
        <f>VLOOKUP($B260, '[1]HURDAT Query'!$A$1:$F$1030, 4, 0)</f>
        <v>NA</v>
      </c>
      <c r="E260" s="3" t="str">
        <f>VLOOKUP($B260, '[1]HURDAT Query'!$A$1:$F$1030, 5, 0)</f>
        <v>NA</v>
      </c>
      <c r="F260" s="3" t="str">
        <f>VLOOKUP($B260, '[1]HURDAT Query'!$A$1:$F$1030, 6, 0)</f>
        <v>NA</v>
      </c>
      <c r="G260" s="3" t="str">
        <f>_xlfn.IFNA(VLOOKUP(B260, '[1]Landfall Stats'!A:G, 7, 0), "No LF")</f>
        <v>No LF</v>
      </c>
      <c r="H260" s="3" t="str">
        <f>_xlfn.IFNA(VLOOKUP(B260, '[1]Landfall Stats'!A:G, 5, 0), "No LF")</f>
        <v>No LF</v>
      </c>
      <c r="I260" s="3" t="str">
        <f>_xlfn.IFNA(VLOOKUP(B260, '[1]Landfall Stats'!A:G, 6, 0), "No LF")</f>
        <v>No LF</v>
      </c>
      <c r="J260" s="4" t="s">
        <v>360</v>
      </c>
      <c r="K260" s="3">
        <v>0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2.75" customHeight="1" x14ac:dyDescent="0.2">
      <c r="A261" s="3">
        <v>1992</v>
      </c>
      <c r="B261" s="3" t="s">
        <v>364</v>
      </c>
      <c r="C261" s="3" t="str">
        <f>VLOOKUP($B261, '[1]HURDAT Query'!$A$1:$F$1030, 3, 0)</f>
        <v>FRANCES</v>
      </c>
      <c r="D261" s="3">
        <f>VLOOKUP($B261, '[1]HURDAT Query'!$A$1:$F$1030, 4, 0)</f>
        <v>1</v>
      </c>
      <c r="E261" s="3">
        <f>VLOOKUP($B261, '[1]HURDAT Query'!$A$1:$F$1030, 5, 0)</f>
        <v>75</v>
      </c>
      <c r="F261" s="3">
        <f>VLOOKUP($B261, '[1]HURDAT Query'!$A$1:$F$1030, 6, 0)</f>
        <v>976</v>
      </c>
      <c r="G261" s="3" t="str">
        <f>_xlfn.IFNA(VLOOKUP(B261, '[1]Landfall Stats'!A:G, 7, 0), "No LF")</f>
        <v>No LF</v>
      </c>
      <c r="H261" s="3" t="str">
        <f>_xlfn.IFNA(VLOOKUP(B261, '[1]Landfall Stats'!A:G, 5, 0), "No LF")</f>
        <v>No LF</v>
      </c>
      <c r="I261" s="3" t="str">
        <f>_xlfn.IFNA(VLOOKUP(B261, '[1]Landfall Stats'!A:G, 6, 0), "No LF")</f>
        <v>No LF</v>
      </c>
      <c r="J261" s="4" t="s">
        <v>360</v>
      </c>
      <c r="K261" s="3">
        <v>0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2.75" customHeight="1" x14ac:dyDescent="0.2">
      <c r="A262" s="3">
        <v>1993</v>
      </c>
      <c r="B262" s="3" t="s">
        <v>365</v>
      </c>
      <c r="C262" s="3" t="str">
        <f>VLOOKUP($B262, '[1]HURDAT Query'!$A$1:$F$1030, 3, 0)</f>
        <v>ARLENE</v>
      </c>
      <c r="D262" s="3" t="str">
        <f>VLOOKUP($B262, '[1]HURDAT Query'!$A$1:$F$1030, 4, 0)</f>
        <v>NA</v>
      </c>
      <c r="E262" s="3" t="str">
        <f>VLOOKUP($B262, '[1]HURDAT Query'!$A$1:$F$1030, 5, 0)</f>
        <v>NA</v>
      </c>
      <c r="F262" s="3" t="str">
        <f>VLOOKUP($B262, '[1]HURDAT Query'!$A$1:$F$1030, 6, 0)</f>
        <v>NA</v>
      </c>
      <c r="G262" s="3" t="str">
        <f>_xlfn.IFNA(VLOOKUP(B262, '[1]Landfall Stats'!A:G, 7, 0), "No LF")</f>
        <v>NA</v>
      </c>
      <c r="H262" s="3">
        <f>_xlfn.IFNA(VLOOKUP(B262, '[1]Landfall Stats'!A:G, 5, 0), "No LF")</f>
        <v>35</v>
      </c>
      <c r="I262" s="3">
        <f>_xlfn.IFNA(VLOOKUP(B262, '[1]Landfall Stats'!A:G, 6, 0), "No LF")</f>
        <v>1001</v>
      </c>
      <c r="J262" s="4" t="s">
        <v>366</v>
      </c>
      <c r="K262" s="3">
        <v>1</v>
      </c>
      <c r="L262" s="3"/>
      <c r="M262" s="3"/>
      <c r="N262" s="3"/>
      <c r="O262" s="3"/>
      <c r="P262" s="3"/>
      <c r="Q262" s="3"/>
      <c r="R262" s="3"/>
      <c r="S262" s="3"/>
      <c r="T262" s="3">
        <v>1</v>
      </c>
      <c r="U262" s="3" t="s">
        <v>38</v>
      </c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2.75" customHeight="1" x14ac:dyDescent="0.2">
      <c r="A263" s="3">
        <v>1993</v>
      </c>
      <c r="B263" s="3" t="s">
        <v>367</v>
      </c>
      <c r="C263" s="3" t="str">
        <f>VLOOKUP($B263, '[1]HURDAT Query'!$A$1:$F$1030, 3, 0)</f>
        <v>BRET</v>
      </c>
      <c r="D263" s="3" t="str">
        <f>VLOOKUP($B263, '[1]HURDAT Query'!$A$1:$F$1030, 4, 0)</f>
        <v>NA</v>
      </c>
      <c r="E263" s="3" t="str">
        <f>VLOOKUP($B263, '[1]HURDAT Query'!$A$1:$F$1030, 5, 0)</f>
        <v>NA</v>
      </c>
      <c r="F263" s="3" t="str">
        <f>VLOOKUP($B263, '[1]HURDAT Query'!$A$1:$F$1030, 6, 0)</f>
        <v>NA</v>
      </c>
      <c r="G263" s="3" t="str">
        <f>_xlfn.IFNA(VLOOKUP(B263, '[1]Landfall Stats'!A:G, 7, 0), "No LF")</f>
        <v>No LF</v>
      </c>
      <c r="H263" s="3" t="str">
        <f>_xlfn.IFNA(VLOOKUP(B263, '[1]Landfall Stats'!A:G, 5, 0), "No LF")</f>
        <v>No LF</v>
      </c>
      <c r="I263" s="3" t="str">
        <f>_xlfn.IFNA(VLOOKUP(B263, '[1]Landfall Stats'!A:G, 6, 0), "No LF")</f>
        <v>No LF</v>
      </c>
      <c r="J263" s="4" t="s">
        <v>368</v>
      </c>
      <c r="K263" s="3">
        <v>0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2.75" customHeight="1" x14ac:dyDescent="0.2">
      <c r="A264" s="3">
        <v>1993</v>
      </c>
      <c r="B264" s="3" t="s">
        <v>369</v>
      </c>
      <c r="C264" s="3" t="str">
        <f>VLOOKUP($B264, '[1]HURDAT Query'!$A$1:$F$1030, 3, 0)</f>
        <v>CINDY</v>
      </c>
      <c r="D264" s="3" t="str">
        <f>VLOOKUP($B264, '[1]HURDAT Query'!$A$1:$F$1030, 4, 0)</f>
        <v>NA</v>
      </c>
      <c r="E264" s="3" t="str">
        <f>VLOOKUP($B264, '[1]HURDAT Query'!$A$1:$F$1030, 5, 0)</f>
        <v>NA</v>
      </c>
      <c r="F264" s="3" t="str">
        <f>VLOOKUP($B264, '[1]HURDAT Query'!$A$1:$F$1030, 6, 0)</f>
        <v>NA</v>
      </c>
      <c r="G264" s="3" t="str">
        <f>_xlfn.IFNA(VLOOKUP(B264, '[1]Landfall Stats'!A:G, 7, 0), "No LF")</f>
        <v>No LF</v>
      </c>
      <c r="H264" s="3" t="str">
        <f>_xlfn.IFNA(VLOOKUP(B264, '[1]Landfall Stats'!A:G, 5, 0), "No LF")</f>
        <v>No LF</v>
      </c>
      <c r="I264" s="3" t="str">
        <f>_xlfn.IFNA(VLOOKUP(B264, '[1]Landfall Stats'!A:G, 6, 0), "No LF")</f>
        <v>No LF</v>
      </c>
      <c r="J264" s="4" t="s">
        <v>368</v>
      </c>
      <c r="K264" s="3">
        <v>0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2.75" customHeight="1" x14ac:dyDescent="0.2">
      <c r="A265" s="3">
        <v>1993</v>
      </c>
      <c r="B265" s="3" t="s">
        <v>370</v>
      </c>
      <c r="C265" s="3" t="str">
        <f>VLOOKUP($B265, '[1]HURDAT Query'!$A$1:$F$1030, 3, 0)</f>
        <v>EMILY</v>
      </c>
      <c r="D265" s="3">
        <f>VLOOKUP($B265, '[1]HURDAT Query'!$A$1:$F$1030, 4, 0)</f>
        <v>3</v>
      </c>
      <c r="E265" s="3">
        <f>VLOOKUP($B265, '[1]HURDAT Query'!$A$1:$F$1030, 5, 0)</f>
        <v>100</v>
      </c>
      <c r="F265" s="3">
        <f>VLOOKUP($B265, '[1]HURDAT Query'!$A$1:$F$1030, 6, 0)</f>
        <v>960</v>
      </c>
      <c r="G265" s="3" t="str">
        <f>_xlfn.IFNA(VLOOKUP(B265, '[1]Landfall Stats'!A:G, 7, 0), "No LF")</f>
        <v>No LF</v>
      </c>
      <c r="H265" s="3" t="str">
        <f>_xlfn.IFNA(VLOOKUP(B265, '[1]Landfall Stats'!A:G, 5, 0), "No LF")</f>
        <v>No LF</v>
      </c>
      <c r="I265" s="3" t="str">
        <f>_xlfn.IFNA(VLOOKUP(B265, '[1]Landfall Stats'!A:G, 6, 0), "No LF")</f>
        <v>No LF</v>
      </c>
      <c r="J265" s="4" t="s">
        <v>368</v>
      </c>
      <c r="K265" s="3">
        <v>3</v>
      </c>
      <c r="L265" s="3"/>
      <c r="M265" s="3"/>
      <c r="N265" s="3">
        <v>3</v>
      </c>
      <c r="O265" s="3" t="s">
        <v>371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2.75" customHeight="1" x14ac:dyDescent="0.2">
      <c r="A266" s="3">
        <v>1993</v>
      </c>
      <c r="B266" s="3" t="s">
        <v>372</v>
      </c>
      <c r="C266" s="3" t="str">
        <f>VLOOKUP($B266, '[1]HURDAT Query'!$A$1:$F$1030, 3, 0)</f>
        <v>DENNIS</v>
      </c>
      <c r="D266" s="3" t="str">
        <f>VLOOKUP($B266, '[1]HURDAT Query'!$A$1:$F$1030, 4, 0)</f>
        <v>NA</v>
      </c>
      <c r="E266" s="3" t="str">
        <f>VLOOKUP($B266, '[1]HURDAT Query'!$A$1:$F$1030, 5, 0)</f>
        <v>NA</v>
      </c>
      <c r="F266" s="3" t="str">
        <f>VLOOKUP($B266, '[1]HURDAT Query'!$A$1:$F$1030, 6, 0)</f>
        <v>NA</v>
      </c>
      <c r="G266" s="3" t="str">
        <f>_xlfn.IFNA(VLOOKUP(B266, '[1]Landfall Stats'!A:G, 7, 0), "No LF")</f>
        <v>No LF</v>
      </c>
      <c r="H266" s="3" t="str">
        <f>_xlfn.IFNA(VLOOKUP(B266, '[1]Landfall Stats'!A:G, 5, 0), "No LF")</f>
        <v>No LF</v>
      </c>
      <c r="I266" s="3" t="str">
        <f>_xlfn.IFNA(VLOOKUP(B266, '[1]Landfall Stats'!A:G, 6, 0), "No LF")</f>
        <v>No LF</v>
      </c>
      <c r="J266" s="4" t="s">
        <v>368</v>
      </c>
      <c r="K266" s="3">
        <v>0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2.75" customHeight="1" x14ac:dyDescent="0.2">
      <c r="A267" s="3">
        <v>1993</v>
      </c>
      <c r="B267" s="3" t="s">
        <v>373</v>
      </c>
      <c r="C267" s="3" t="str">
        <f>VLOOKUP($B267, '[1]HURDAT Query'!$A$1:$F$1030, 3, 0)</f>
        <v>FLOYD</v>
      </c>
      <c r="D267" s="3">
        <f>VLOOKUP($B267, '[1]HURDAT Query'!$A$1:$F$1030, 4, 0)</f>
        <v>1</v>
      </c>
      <c r="E267" s="3">
        <f>VLOOKUP($B267, '[1]HURDAT Query'!$A$1:$F$1030, 5, 0)</f>
        <v>65</v>
      </c>
      <c r="F267" s="3">
        <f>VLOOKUP($B267, '[1]HURDAT Query'!$A$1:$F$1030, 6, 0)</f>
        <v>990</v>
      </c>
      <c r="G267" s="3" t="str">
        <f>_xlfn.IFNA(VLOOKUP(B267, '[1]Landfall Stats'!A:G, 7, 0), "No LF")</f>
        <v>No LF</v>
      </c>
      <c r="H267" s="3" t="str">
        <f>_xlfn.IFNA(VLOOKUP(B267, '[1]Landfall Stats'!A:G, 5, 0), "No LF")</f>
        <v>No LF</v>
      </c>
      <c r="I267" s="3" t="str">
        <f>_xlfn.IFNA(VLOOKUP(B267, '[1]Landfall Stats'!A:G, 6, 0), "No LF")</f>
        <v>No LF</v>
      </c>
      <c r="J267" s="4" t="s">
        <v>368</v>
      </c>
      <c r="K267" s="3">
        <v>0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2.75" customHeight="1" x14ac:dyDescent="0.2">
      <c r="A268" s="3">
        <v>1993</v>
      </c>
      <c r="B268" s="3" t="s">
        <v>374</v>
      </c>
      <c r="C268" s="3" t="str">
        <f>VLOOKUP($B268, '[1]HURDAT Query'!$A$1:$F$1030, 3, 0)</f>
        <v>GERT</v>
      </c>
      <c r="D268" s="3">
        <f>VLOOKUP($B268, '[1]HURDAT Query'!$A$1:$F$1030, 4, 0)</f>
        <v>2</v>
      </c>
      <c r="E268" s="3">
        <f>VLOOKUP($B268, '[1]HURDAT Query'!$A$1:$F$1030, 5, 0)</f>
        <v>85</v>
      </c>
      <c r="F268" s="3">
        <f>VLOOKUP($B268, '[1]HURDAT Query'!$A$1:$F$1030, 6, 0)</f>
        <v>970</v>
      </c>
      <c r="G268" s="3" t="str">
        <f>_xlfn.IFNA(VLOOKUP(B268, '[1]Landfall Stats'!A:G, 7, 0), "No LF")</f>
        <v>No LF</v>
      </c>
      <c r="H268" s="3" t="str">
        <f>_xlfn.IFNA(VLOOKUP(B268, '[1]Landfall Stats'!A:G, 5, 0), "No LF")</f>
        <v>No LF</v>
      </c>
      <c r="I268" s="3" t="str">
        <f>_xlfn.IFNA(VLOOKUP(B268, '[1]Landfall Stats'!A:G, 6, 0), "No LF")</f>
        <v>No LF</v>
      </c>
      <c r="J268" s="4" t="s">
        <v>368</v>
      </c>
      <c r="K268" s="3">
        <v>0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2.75" customHeight="1" x14ac:dyDescent="0.2">
      <c r="A269" s="3">
        <v>1993</v>
      </c>
      <c r="B269" s="3" t="s">
        <v>375</v>
      </c>
      <c r="C269" s="3" t="str">
        <f>VLOOKUP($B269, '[1]HURDAT Query'!$A$1:$F$1030, 3, 0)</f>
        <v>HARVEY</v>
      </c>
      <c r="D269" s="3">
        <f>VLOOKUP($B269, '[1]HURDAT Query'!$A$1:$F$1030, 4, 0)</f>
        <v>1</v>
      </c>
      <c r="E269" s="3">
        <f>VLOOKUP($B269, '[1]HURDAT Query'!$A$1:$F$1030, 5, 0)</f>
        <v>65</v>
      </c>
      <c r="F269" s="3">
        <f>VLOOKUP($B269, '[1]HURDAT Query'!$A$1:$F$1030, 6, 0)</f>
        <v>990</v>
      </c>
      <c r="G269" s="3" t="str">
        <f>_xlfn.IFNA(VLOOKUP(B269, '[1]Landfall Stats'!A:G, 7, 0), "No LF")</f>
        <v>No LF</v>
      </c>
      <c r="H269" s="3" t="str">
        <f>_xlfn.IFNA(VLOOKUP(B269, '[1]Landfall Stats'!A:G, 5, 0), "No LF")</f>
        <v>No LF</v>
      </c>
      <c r="I269" s="3" t="str">
        <f>_xlfn.IFNA(VLOOKUP(B269, '[1]Landfall Stats'!A:G, 6, 0), "No LF")</f>
        <v>No LF</v>
      </c>
      <c r="J269" s="4" t="s">
        <v>368</v>
      </c>
      <c r="K269" s="3">
        <v>0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2.75" customHeight="1" x14ac:dyDescent="0.2">
      <c r="A270" s="3">
        <v>1994</v>
      </c>
      <c r="B270" s="3" t="s">
        <v>376</v>
      </c>
      <c r="C270" s="3" t="str">
        <f>VLOOKUP($B270, '[1]HURDAT Query'!$A$1:$F$1030, 3, 0)</f>
        <v>ALBERTO</v>
      </c>
      <c r="D270" s="3" t="str">
        <f>VLOOKUP($B270, '[1]HURDAT Query'!$A$1:$F$1030, 4, 0)</f>
        <v>NA</v>
      </c>
      <c r="E270" s="3" t="str">
        <f>VLOOKUP($B270, '[1]HURDAT Query'!$A$1:$F$1030, 5, 0)</f>
        <v>NA</v>
      </c>
      <c r="F270" s="3" t="str">
        <f>VLOOKUP($B270, '[1]HURDAT Query'!$A$1:$F$1030, 6, 0)</f>
        <v>NA</v>
      </c>
      <c r="G270" s="3" t="str">
        <f>_xlfn.IFNA(VLOOKUP(B270, '[1]Landfall Stats'!A:G, 7, 0), "No LF")</f>
        <v>NA</v>
      </c>
      <c r="H270" s="3">
        <f>_xlfn.IFNA(VLOOKUP(B270, '[1]Landfall Stats'!A:G, 5, 0), "No LF")</f>
        <v>55</v>
      </c>
      <c r="I270" s="3">
        <f>_xlfn.IFNA(VLOOKUP(B270, '[1]Landfall Stats'!A:G, 6, 0), "No LF")</f>
        <v>993</v>
      </c>
      <c r="J270" s="4" t="s">
        <v>377</v>
      </c>
      <c r="K270" s="3">
        <v>30</v>
      </c>
      <c r="L270" s="3"/>
      <c r="M270" s="3"/>
      <c r="N270" s="3"/>
      <c r="O270" s="3"/>
      <c r="P270" s="3"/>
      <c r="Q270" s="3"/>
      <c r="R270" s="3"/>
      <c r="S270" s="3"/>
      <c r="T270" s="3">
        <v>30</v>
      </c>
      <c r="U270" s="3" t="s">
        <v>378</v>
      </c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2.75" customHeight="1" x14ac:dyDescent="0.2">
      <c r="A271" s="3">
        <v>1994</v>
      </c>
      <c r="B271" s="3" t="s">
        <v>379</v>
      </c>
      <c r="C271" s="3" t="str">
        <f>VLOOKUP($B271, '[1]HURDAT Query'!$A$1:$F$1030, 3, 0)</f>
        <v>BERYL</v>
      </c>
      <c r="D271" s="3" t="str">
        <f>VLOOKUP($B271, '[1]HURDAT Query'!$A$1:$F$1030, 4, 0)</f>
        <v>NA</v>
      </c>
      <c r="E271" s="3" t="str">
        <f>VLOOKUP($B271, '[1]HURDAT Query'!$A$1:$F$1030, 5, 0)</f>
        <v>NA</v>
      </c>
      <c r="F271" s="3" t="str">
        <f>VLOOKUP($B271, '[1]HURDAT Query'!$A$1:$F$1030, 6, 0)</f>
        <v>NA</v>
      </c>
      <c r="G271" s="3" t="str">
        <f>_xlfn.IFNA(VLOOKUP(B271, '[1]Landfall Stats'!A:G, 7, 0), "No LF")</f>
        <v>NA</v>
      </c>
      <c r="H271" s="3">
        <f>_xlfn.IFNA(VLOOKUP(B271, '[1]Landfall Stats'!A:G, 5, 0), "No LF")</f>
        <v>50</v>
      </c>
      <c r="I271" s="3">
        <f>_xlfn.IFNA(VLOOKUP(B271, '[1]Landfall Stats'!A:G, 6, 0), "No LF")</f>
        <v>1000</v>
      </c>
      <c r="J271" s="4" t="s">
        <v>377</v>
      </c>
      <c r="K271" s="3">
        <v>0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2.75" customHeight="1" x14ac:dyDescent="0.2">
      <c r="A272" s="3">
        <v>1994</v>
      </c>
      <c r="B272" s="3" t="s">
        <v>380</v>
      </c>
      <c r="C272" s="3" t="str">
        <f>VLOOKUP($B272, '[1]HURDAT Query'!$A$1:$F$1030, 3, 0)</f>
        <v>CHRIS</v>
      </c>
      <c r="D272" s="3">
        <f>VLOOKUP($B272, '[1]HURDAT Query'!$A$1:$F$1030, 4, 0)</f>
        <v>1</v>
      </c>
      <c r="E272" s="3">
        <f>VLOOKUP($B272, '[1]HURDAT Query'!$A$1:$F$1030, 5, 0)</f>
        <v>70</v>
      </c>
      <c r="F272" s="3">
        <f>VLOOKUP($B272, '[1]HURDAT Query'!$A$1:$F$1030, 6, 0)</f>
        <v>979</v>
      </c>
      <c r="G272" s="3" t="str">
        <f>_xlfn.IFNA(VLOOKUP(B272, '[1]Landfall Stats'!A:G, 7, 0), "No LF")</f>
        <v>No LF</v>
      </c>
      <c r="H272" s="3" t="str">
        <f>_xlfn.IFNA(VLOOKUP(B272, '[1]Landfall Stats'!A:G, 5, 0), "No LF")</f>
        <v>No LF</v>
      </c>
      <c r="I272" s="3" t="str">
        <f>_xlfn.IFNA(VLOOKUP(B272, '[1]Landfall Stats'!A:G, 6, 0), "No LF")</f>
        <v>No LF</v>
      </c>
      <c r="J272" s="4" t="s">
        <v>377</v>
      </c>
      <c r="K272" s="3">
        <v>0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2.75" customHeight="1" x14ac:dyDescent="0.2">
      <c r="A273" s="3">
        <v>1994</v>
      </c>
      <c r="B273" s="3" t="s">
        <v>381</v>
      </c>
      <c r="C273" s="3" t="str">
        <f>VLOOKUP($B273, '[1]HURDAT Query'!$A$1:$F$1030, 3, 0)</f>
        <v>DEBBY</v>
      </c>
      <c r="D273" s="3" t="str">
        <f>VLOOKUP($B273, '[1]HURDAT Query'!$A$1:$F$1030, 4, 0)</f>
        <v>NA</v>
      </c>
      <c r="E273" s="3" t="str">
        <f>VLOOKUP($B273, '[1]HURDAT Query'!$A$1:$F$1030, 5, 0)</f>
        <v>NA</v>
      </c>
      <c r="F273" s="3" t="str">
        <f>VLOOKUP($B273, '[1]HURDAT Query'!$A$1:$F$1030, 6, 0)</f>
        <v>NA</v>
      </c>
      <c r="G273" s="3" t="str">
        <f>_xlfn.IFNA(VLOOKUP(B273, '[1]Landfall Stats'!A:G, 7, 0), "No LF")</f>
        <v>No LF</v>
      </c>
      <c r="H273" s="3" t="str">
        <f>_xlfn.IFNA(VLOOKUP(B273, '[1]Landfall Stats'!A:G, 5, 0), "No LF")</f>
        <v>No LF</v>
      </c>
      <c r="I273" s="3" t="str">
        <f>_xlfn.IFNA(VLOOKUP(B273, '[1]Landfall Stats'!A:G, 6, 0), "No LF")</f>
        <v>No LF</v>
      </c>
      <c r="J273" s="4" t="s">
        <v>377</v>
      </c>
      <c r="K273" s="3">
        <v>0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2.75" customHeight="1" x14ac:dyDescent="0.2">
      <c r="A274" s="3">
        <v>1994</v>
      </c>
      <c r="B274" s="3" t="s">
        <v>382</v>
      </c>
      <c r="C274" s="3" t="str">
        <f>VLOOKUP($B274, '[1]HURDAT Query'!$A$1:$F$1030, 3, 0)</f>
        <v>ERNESTO</v>
      </c>
      <c r="D274" s="3" t="str">
        <f>VLOOKUP($B274, '[1]HURDAT Query'!$A$1:$F$1030, 4, 0)</f>
        <v>NA</v>
      </c>
      <c r="E274" s="3" t="str">
        <f>VLOOKUP($B274, '[1]HURDAT Query'!$A$1:$F$1030, 5, 0)</f>
        <v>NA</v>
      </c>
      <c r="F274" s="3" t="str">
        <f>VLOOKUP($B274, '[1]HURDAT Query'!$A$1:$F$1030, 6, 0)</f>
        <v>NA</v>
      </c>
      <c r="G274" s="3" t="str">
        <f>_xlfn.IFNA(VLOOKUP(B274, '[1]Landfall Stats'!A:G, 7, 0), "No LF")</f>
        <v>No LF</v>
      </c>
      <c r="H274" s="3" t="str">
        <f>_xlfn.IFNA(VLOOKUP(B274, '[1]Landfall Stats'!A:G, 5, 0), "No LF")</f>
        <v>No LF</v>
      </c>
      <c r="I274" s="3" t="str">
        <f>_xlfn.IFNA(VLOOKUP(B274, '[1]Landfall Stats'!A:G, 6, 0), "No LF")</f>
        <v>No LF</v>
      </c>
      <c r="J274" s="4" t="s">
        <v>377</v>
      </c>
      <c r="K274" s="3">
        <v>0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2.75" customHeight="1" x14ac:dyDescent="0.2">
      <c r="A275" s="3">
        <v>1994</v>
      </c>
      <c r="B275" s="3" t="s">
        <v>383</v>
      </c>
      <c r="C275" s="3" t="str">
        <f>VLOOKUP($B275, '[1]HURDAT Query'!$A$1:$F$1030, 3, 0)</f>
        <v>FLORENCE</v>
      </c>
      <c r="D275" s="3">
        <f>VLOOKUP($B275, '[1]HURDAT Query'!$A$1:$F$1030, 4, 0)</f>
        <v>2</v>
      </c>
      <c r="E275" s="3">
        <f>VLOOKUP($B275, '[1]HURDAT Query'!$A$1:$F$1030, 5, 0)</f>
        <v>95</v>
      </c>
      <c r="F275" s="3">
        <f>VLOOKUP($B275, '[1]HURDAT Query'!$A$1:$F$1030, 6, 0)</f>
        <v>972</v>
      </c>
      <c r="G275" s="3" t="str">
        <f>_xlfn.IFNA(VLOOKUP(B275, '[1]Landfall Stats'!A:G, 7, 0), "No LF")</f>
        <v>No LF</v>
      </c>
      <c r="H275" s="3" t="str">
        <f>_xlfn.IFNA(VLOOKUP(B275, '[1]Landfall Stats'!A:G, 5, 0), "No LF")</f>
        <v>No LF</v>
      </c>
      <c r="I275" s="3" t="str">
        <f>_xlfn.IFNA(VLOOKUP(B275, '[1]Landfall Stats'!A:G, 6, 0), "No LF")</f>
        <v>No LF</v>
      </c>
      <c r="J275" s="4" t="s">
        <v>377</v>
      </c>
      <c r="K275" s="3">
        <v>0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2" customHeight="1" x14ac:dyDescent="0.2">
      <c r="A276" s="3">
        <v>1994</v>
      </c>
      <c r="B276" s="3" t="s">
        <v>384</v>
      </c>
      <c r="C276" s="3" t="str">
        <f>VLOOKUP($B276, '[1]HURDAT Query'!$A$1:$F$1030, 3, 0)</f>
        <v>GORDON</v>
      </c>
      <c r="D276" s="3">
        <f>VLOOKUP($B276, '[1]HURDAT Query'!$A$1:$F$1030, 4, 0)</f>
        <v>1</v>
      </c>
      <c r="E276" s="3">
        <f>VLOOKUP($B276, '[1]HURDAT Query'!$A$1:$F$1030, 5, 0)</f>
        <v>75</v>
      </c>
      <c r="F276" s="3">
        <f>VLOOKUP($B276, '[1]HURDAT Query'!$A$1:$F$1030, 6, 0)</f>
        <v>980</v>
      </c>
      <c r="G276" s="3" t="str">
        <f>_xlfn.IFNA(VLOOKUP(B276, '[1]Landfall Stats'!A:G, 7, 0), "No LF")</f>
        <v>NA</v>
      </c>
      <c r="H276" s="3">
        <f>_xlfn.IFNA(VLOOKUP(B276, '[1]Landfall Stats'!A:G, 5, 0), "No LF")</f>
        <v>45</v>
      </c>
      <c r="I276" s="3">
        <f>_xlfn.IFNA(VLOOKUP(B276, '[1]Landfall Stats'!A:G, 6, 0), "No LF")</f>
        <v>996</v>
      </c>
      <c r="J276" s="4" t="s">
        <v>377</v>
      </c>
      <c r="K276" s="3">
        <v>8</v>
      </c>
      <c r="L276" s="3"/>
      <c r="M276" s="3"/>
      <c r="N276" s="3">
        <v>2</v>
      </c>
      <c r="O276" s="3" t="s">
        <v>51</v>
      </c>
      <c r="P276" s="3">
        <v>2</v>
      </c>
      <c r="Q276" s="3" t="s">
        <v>51</v>
      </c>
      <c r="R276" s="3">
        <v>1</v>
      </c>
      <c r="S276" s="3" t="s">
        <v>51</v>
      </c>
      <c r="T276" s="3"/>
      <c r="U276" s="3"/>
      <c r="V276" s="3"/>
      <c r="W276" s="3"/>
      <c r="X276" s="3"/>
      <c r="Y276" s="3"/>
      <c r="Z276" s="3">
        <v>1</v>
      </c>
      <c r="AA276" s="3" t="s">
        <v>51</v>
      </c>
      <c r="AB276" s="3"/>
      <c r="AC276" s="3"/>
      <c r="AD276" s="3">
        <v>2</v>
      </c>
      <c r="AE276" s="3" t="s">
        <v>42</v>
      </c>
    </row>
    <row r="277" spans="1:31" ht="12.75" customHeight="1" x14ac:dyDescent="0.2">
      <c r="A277" s="3">
        <v>1995</v>
      </c>
      <c r="B277" s="3" t="s">
        <v>385</v>
      </c>
      <c r="C277" s="3" t="str">
        <f>VLOOKUP($B277, '[1]HURDAT Query'!$A$1:$F$1030, 3, 0)</f>
        <v>ALLISON</v>
      </c>
      <c r="D277" s="3">
        <f>VLOOKUP($B277, '[1]HURDAT Query'!$A$1:$F$1030, 4, 0)</f>
        <v>1</v>
      </c>
      <c r="E277" s="3">
        <f>VLOOKUP($B277, '[1]HURDAT Query'!$A$1:$F$1030, 5, 0)</f>
        <v>65</v>
      </c>
      <c r="F277" s="3">
        <f>VLOOKUP($B277, '[1]HURDAT Query'!$A$1:$F$1030, 6, 0)</f>
        <v>987</v>
      </c>
      <c r="G277" s="3" t="str">
        <f>_xlfn.IFNA(VLOOKUP(B277, '[1]Landfall Stats'!A:G, 7, 0), "No LF")</f>
        <v>No LF</v>
      </c>
      <c r="H277" s="3" t="str">
        <f>_xlfn.IFNA(VLOOKUP(B277, '[1]Landfall Stats'!A:G, 5, 0), "No LF")</f>
        <v>No LF</v>
      </c>
      <c r="I277" s="3" t="str">
        <f>_xlfn.IFNA(VLOOKUP(B277, '[1]Landfall Stats'!A:G, 6, 0), "No LF")</f>
        <v>No LF</v>
      </c>
      <c r="J277" s="4" t="s">
        <v>386</v>
      </c>
      <c r="K277" s="3">
        <v>0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2.75" customHeight="1" x14ac:dyDescent="0.2">
      <c r="A278" s="3">
        <v>1995</v>
      </c>
      <c r="B278" s="3" t="s">
        <v>387</v>
      </c>
      <c r="C278" s="3" t="str">
        <f>VLOOKUP($B278, '[1]HURDAT Query'!$A$1:$F$1030, 3, 0)</f>
        <v>BARRY</v>
      </c>
      <c r="D278" s="3" t="str">
        <f>VLOOKUP($B278, '[1]HURDAT Query'!$A$1:$F$1030, 4, 0)</f>
        <v>NA</v>
      </c>
      <c r="E278" s="3" t="str">
        <f>VLOOKUP($B278, '[1]HURDAT Query'!$A$1:$F$1030, 5, 0)</f>
        <v>NA</v>
      </c>
      <c r="F278" s="3" t="str">
        <f>VLOOKUP($B278, '[1]HURDAT Query'!$A$1:$F$1030, 6, 0)</f>
        <v>NA</v>
      </c>
      <c r="G278" s="3" t="str">
        <f>_xlfn.IFNA(VLOOKUP(B278, '[1]Landfall Stats'!A:G, 7, 0), "No LF")</f>
        <v>No LF</v>
      </c>
      <c r="H278" s="3" t="str">
        <f>_xlfn.IFNA(VLOOKUP(B278, '[1]Landfall Stats'!A:G, 5, 0), "No LF")</f>
        <v>No LF</v>
      </c>
      <c r="I278" s="3" t="str">
        <f>_xlfn.IFNA(VLOOKUP(B278, '[1]Landfall Stats'!A:G, 6, 0), "No LF")</f>
        <v>No LF</v>
      </c>
      <c r="J278" s="4" t="s">
        <v>386</v>
      </c>
      <c r="K278" s="3">
        <v>0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2.75" customHeight="1" x14ac:dyDescent="0.2">
      <c r="A279" s="3">
        <v>1995</v>
      </c>
      <c r="B279" s="3" t="s">
        <v>388</v>
      </c>
      <c r="C279" s="3" t="str">
        <f>VLOOKUP($B279, '[1]HURDAT Query'!$A$1:$F$1030, 3, 0)</f>
        <v>CHANTAL</v>
      </c>
      <c r="D279" s="3" t="str">
        <f>VLOOKUP($B279, '[1]HURDAT Query'!$A$1:$F$1030, 4, 0)</f>
        <v>NA</v>
      </c>
      <c r="E279" s="3" t="str">
        <f>VLOOKUP($B279, '[1]HURDAT Query'!$A$1:$F$1030, 5, 0)</f>
        <v>NA</v>
      </c>
      <c r="F279" s="3" t="str">
        <f>VLOOKUP($B279, '[1]HURDAT Query'!$A$1:$F$1030, 6, 0)</f>
        <v>NA</v>
      </c>
      <c r="G279" s="3" t="str">
        <f>_xlfn.IFNA(VLOOKUP(B279, '[1]Landfall Stats'!A:G, 7, 0), "No LF")</f>
        <v>No LF</v>
      </c>
      <c r="H279" s="3" t="str">
        <f>_xlfn.IFNA(VLOOKUP(B279, '[1]Landfall Stats'!A:G, 5, 0), "No LF")</f>
        <v>No LF</v>
      </c>
      <c r="I279" s="3" t="str">
        <f>_xlfn.IFNA(VLOOKUP(B279, '[1]Landfall Stats'!A:G, 6, 0), "No LF")</f>
        <v>No LF</v>
      </c>
      <c r="J279" s="4" t="s">
        <v>386</v>
      </c>
      <c r="K279" s="3">
        <v>0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2.75" customHeight="1" x14ac:dyDescent="0.2">
      <c r="A280" s="3">
        <v>1995</v>
      </c>
      <c r="B280" s="3" t="s">
        <v>389</v>
      </c>
      <c r="C280" s="3" t="str">
        <f>VLOOKUP($B280, '[1]HURDAT Query'!$A$1:$F$1030, 3, 0)</f>
        <v>DEAN</v>
      </c>
      <c r="D280" s="3" t="str">
        <f>VLOOKUP($B280, '[1]HURDAT Query'!$A$1:$F$1030, 4, 0)</f>
        <v>NA</v>
      </c>
      <c r="E280" s="3" t="str">
        <f>VLOOKUP($B280, '[1]HURDAT Query'!$A$1:$F$1030, 5, 0)</f>
        <v>NA</v>
      </c>
      <c r="F280" s="3" t="str">
        <f>VLOOKUP($B280, '[1]HURDAT Query'!$A$1:$F$1030, 6, 0)</f>
        <v>NA</v>
      </c>
      <c r="G280" s="3" t="str">
        <f>_xlfn.IFNA(VLOOKUP(B280, '[1]Landfall Stats'!A:G, 7, 0), "No LF")</f>
        <v>No LF</v>
      </c>
      <c r="H280" s="3" t="str">
        <f>_xlfn.IFNA(VLOOKUP(B280, '[1]Landfall Stats'!A:G, 5, 0), "No LF")</f>
        <v>No LF</v>
      </c>
      <c r="I280" s="3" t="str">
        <f>_xlfn.IFNA(VLOOKUP(B280, '[1]Landfall Stats'!A:G, 6, 0), "No LF")</f>
        <v>No LF</v>
      </c>
      <c r="J280" s="4" t="s">
        <v>386</v>
      </c>
      <c r="K280" s="3">
        <v>0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2" customHeight="1" x14ac:dyDescent="0.2">
      <c r="A281" s="3">
        <v>1995</v>
      </c>
      <c r="B281" s="3" t="s">
        <v>390</v>
      </c>
      <c r="C281" s="3" t="str">
        <f>VLOOKUP($B281, '[1]HURDAT Query'!$A$1:$F$1030, 3, 0)</f>
        <v>ERIN</v>
      </c>
      <c r="D281" s="3">
        <f>VLOOKUP($B281, '[1]HURDAT Query'!$A$1:$F$1030, 4, 0)</f>
        <v>2</v>
      </c>
      <c r="E281" s="3">
        <f>VLOOKUP($B281, '[1]HURDAT Query'!$A$1:$F$1030, 5, 0)</f>
        <v>85</v>
      </c>
      <c r="F281" s="3">
        <f>VLOOKUP($B281, '[1]HURDAT Query'!$A$1:$F$1030, 6, 0)</f>
        <v>973</v>
      </c>
      <c r="G281" s="3">
        <f>_xlfn.IFNA(VLOOKUP(B281, '[1]Landfall Stats'!A:G, 7, 0), "No LF")</f>
        <v>1</v>
      </c>
      <c r="H281" s="3">
        <f>_xlfn.IFNA(VLOOKUP(B281, '[1]Landfall Stats'!A:G, 5, 0), "No LF")</f>
        <v>75</v>
      </c>
      <c r="I281" s="3">
        <f>_xlfn.IFNA(VLOOKUP(B281, '[1]Landfall Stats'!A:G, 6, 0), "No LF")</f>
        <v>973</v>
      </c>
      <c r="J281" s="4" t="s">
        <v>391</v>
      </c>
      <c r="K281" s="3">
        <v>6</v>
      </c>
      <c r="L281" s="3"/>
      <c r="M281" s="3"/>
      <c r="N281" s="3"/>
      <c r="O281" s="3"/>
      <c r="P281" s="3">
        <v>5</v>
      </c>
      <c r="Q281" s="3" t="s">
        <v>51</v>
      </c>
      <c r="R281" s="3">
        <v>1</v>
      </c>
      <c r="S281" s="3" t="s">
        <v>51</v>
      </c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2.75" customHeight="1" x14ac:dyDescent="0.2">
      <c r="A282" s="3">
        <v>1995</v>
      </c>
      <c r="B282" s="3" t="s">
        <v>392</v>
      </c>
      <c r="C282" s="3" t="str">
        <f>VLOOKUP($B282, '[1]HURDAT Query'!$A$1:$F$1030, 3, 0)</f>
        <v>FELIX</v>
      </c>
      <c r="D282" s="3">
        <f>VLOOKUP($B282, '[1]HURDAT Query'!$A$1:$F$1030, 4, 0)</f>
        <v>4</v>
      </c>
      <c r="E282" s="3">
        <f>VLOOKUP($B282, '[1]HURDAT Query'!$A$1:$F$1030, 5, 0)</f>
        <v>120</v>
      </c>
      <c r="F282" s="3">
        <f>VLOOKUP($B282, '[1]HURDAT Query'!$A$1:$F$1030, 6, 0)</f>
        <v>929</v>
      </c>
      <c r="G282" s="3" t="str">
        <f>_xlfn.IFNA(VLOOKUP(B282, '[1]Landfall Stats'!A:G, 7, 0), "No LF")</f>
        <v>No LF</v>
      </c>
      <c r="H282" s="3" t="str">
        <f>_xlfn.IFNA(VLOOKUP(B282, '[1]Landfall Stats'!A:G, 5, 0), "No LF")</f>
        <v>No LF</v>
      </c>
      <c r="I282" s="3" t="str">
        <f>_xlfn.IFNA(VLOOKUP(B282, '[1]Landfall Stats'!A:G, 6, 0), "No LF")</f>
        <v>No LF</v>
      </c>
      <c r="J282" s="4" t="s">
        <v>393</v>
      </c>
      <c r="K282" s="3">
        <v>8</v>
      </c>
      <c r="L282" s="3"/>
      <c r="M282" s="3"/>
      <c r="N282" s="3">
        <v>8</v>
      </c>
      <c r="O282" s="3" t="s">
        <v>394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2.75" customHeight="1" x14ac:dyDescent="0.2">
      <c r="A283" s="3">
        <v>1995</v>
      </c>
      <c r="B283" s="3" t="s">
        <v>395</v>
      </c>
      <c r="C283" s="3" t="str">
        <f>VLOOKUP($B283, '[1]HURDAT Query'!$A$1:$F$1030, 3, 0)</f>
        <v>GABRIELLE</v>
      </c>
      <c r="D283" s="3" t="str">
        <f>VLOOKUP($B283, '[1]HURDAT Query'!$A$1:$F$1030, 4, 0)</f>
        <v>NA</v>
      </c>
      <c r="E283" s="3" t="str">
        <f>VLOOKUP($B283, '[1]HURDAT Query'!$A$1:$F$1030, 5, 0)</f>
        <v>NA</v>
      </c>
      <c r="F283" s="3" t="str">
        <f>VLOOKUP($B283, '[1]HURDAT Query'!$A$1:$F$1030, 6, 0)</f>
        <v>NA</v>
      </c>
      <c r="G283" s="3" t="str">
        <f>_xlfn.IFNA(VLOOKUP(B283, '[1]Landfall Stats'!A:G, 7, 0), "No LF")</f>
        <v>No LF</v>
      </c>
      <c r="H283" s="3" t="str">
        <f>_xlfn.IFNA(VLOOKUP(B283, '[1]Landfall Stats'!A:G, 5, 0), "No LF")</f>
        <v>No LF</v>
      </c>
      <c r="I283" s="3" t="str">
        <f>_xlfn.IFNA(VLOOKUP(B283, '[1]Landfall Stats'!A:G, 6, 0), "No LF")</f>
        <v>No LF</v>
      </c>
      <c r="J283" s="4" t="s">
        <v>386</v>
      </c>
      <c r="K283" s="3">
        <v>0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2.75" customHeight="1" x14ac:dyDescent="0.2">
      <c r="A284" s="3">
        <v>1995</v>
      </c>
      <c r="B284" s="3" t="s">
        <v>396</v>
      </c>
      <c r="C284" s="3" t="str">
        <f>VLOOKUP($B284, '[1]HURDAT Query'!$A$1:$F$1030, 3, 0)</f>
        <v>HUMBERTO</v>
      </c>
      <c r="D284" s="3">
        <f>VLOOKUP($B284, '[1]HURDAT Query'!$A$1:$F$1030, 4, 0)</f>
        <v>2</v>
      </c>
      <c r="E284" s="3">
        <f>VLOOKUP($B284, '[1]HURDAT Query'!$A$1:$F$1030, 5, 0)</f>
        <v>95</v>
      </c>
      <c r="F284" s="3">
        <f>VLOOKUP($B284, '[1]HURDAT Query'!$A$1:$F$1030, 6, 0)</f>
        <v>968</v>
      </c>
      <c r="G284" s="3" t="str">
        <f>_xlfn.IFNA(VLOOKUP(B284, '[1]Landfall Stats'!A:G, 7, 0), "No LF")</f>
        <v>No LF</v>
      </c>
      <c r="H284" s="3" t="str">
        <f>_xlfn.IFNA(VLOOKUP(B284, '[1]Landfall Stats'!A:G, 5, 0), "No LF")</f>
        <v>No LF</v>
      </c>
      <c r="I284" s="3" t="str">
        <f>_xlfn.IFNA(VLOOKUP(B284, '[1]Landfall Stats'!A:G, 6, 0), "No LF")</f>
        <v>No LF</v>
      </c>
      <c r="J284" s="4" t="s">
        <v>386</v>
      </c>
      <c r="K284" s="3">
        <v>0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2.75" customHeight="1" x14ac:dyDescent="0.2">
      <c r="A285" s="3">
        <v>1995</v>
      </c>
      <c r="B285" s="3" t="s">
        <v>397</v>
      </c>
      <c r="C285" s="3" t="str">
        <f>VLOOKUP($B285, '[1]HURDAT Query'!$A$1:$F$1030, 3, 0)</f>
        <v>IRIS</v>
      </c>
      <c r="D285" s="3">
        <f>VLOOKUP($B285, '[1]HURDAT Query'!$A$1:$F$1030, 4, 0)</f>
        <v>2</v>
      </c>
      <c r="E285" s="3">
        <f>VLOOKUP($B285, '[1]HURDAT Query'!$A$1:$F$1030, 5, 0)</f>
        <v>95</v>
      </c>
      <c r="F285" s="3">
        <f>VLOOKUP($B285, '[1]HURDAT Query'!$A$1:$F$1030, 6, 0)</f>
        <v>965</v>
      </c>
      <c r="G285" s="3" t="str">
        <f>_xlfn.IFNA(VLOOKUP(B285, '[1]Landfall Stats'!A:G, 7, 0), "No LF")</f>
        <v>No LF</v>
      </c>
      <c r="H285" s="3" t="str">
        <f>_xlfn.IFNA(VLOOKUP(B285, '[1]Landfall Stats'!A:G, 5, 0), "No LF")</f>
        <v>No LF</v>
      </c>
      <c r="I285" s="3" t="str">
        <f>_xlfn.IFNA(VLOOKUP(B285, '[1]Landfall Stats'!A:G, 6, 0), "No LF")</f>
        <v>No LF</v>
      </c>
      <c r="J285" s="4" t="s">
        <v>386</v>
      </c>
      <c r="K285" s="3">
        <v>0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2.75" customHeight="1" x14ac:dyDescent="0.2">
      <c r="A286" s="3">
        <v>1995</v>
      </c>
      <c r="B286" s="3" t="s">
        <v>398</v>
      </c>
      <c r="C286" s="3" t="str">
        <f>VLOOKUP($B286, '[1]HURDAT Query'!$A$1:$F$1030, 3, 0)</f>
        <v>JERRY</v>
      </c>
      <c r="D286" s="3" t="str">
        <f>VLOOKUP($B286, '[1]HURDAT Query'!$A$1:$F$1030, 4, 0)</f>
        <v>NA</v>
      </c>
      <c r="E286" s="3" t="str">
        <f>VLOOKUP($B286, '[1]HURDAT Query'!$A$1:$F$1030, 5, 0)</f>
        <v>NA</v>
      </c>
      <c r="F286" s="3" t="str">
        <f>VLOOKUP($B286, '[1]HURDAT Query'!$A$1:$F$1030, 6, 0)</f>
        <v>NA</v>
      </c>
      <c r="G286" s="3" t="str">
        <f>_xlfn.IFNA(VLOOKUP(B286, '[1]Landfall Stats'!A:G, 7, 0), "No LF")</f>
        <v>NA</v>
      </c>
      <c r="H286" s="3">
        <f>_xlfn.IFNA(VLOOKUP(B286, '[1]Landfall Stats'!A:G, 5, 0), "No LF")</f>
        <v>35</v>
      </c>
      <c r="I286" s="3">
        <f>_xlfn.IFNA(VLOOKUP(B286, '[1]Landfall Stats'!A:G, 6, 0), "No LF")</f>
        <v>1006</v>
      </c>
      <c r="J286" s="4" t="s">
        <v>399</v>
      </c>
      <c r="K286" s="3">
        <v>6</v>
      </c>
      <c r="L286" s="3"/>
      <c r="M286" s="3"/>
      <c r="N286" s="3"/>
      <c r="O286" s="3"/>
      <c r="P286" s="3"/>
      <c r="Q286" s="3"/>
      <c r="R286" s="3"/>
      <c r="S286" s="3"/>
      <c r="T286" s="3">
        <v>6</v>
      </c>
      <c r="U286" s="3" t="s">
        <v>400</v>
      </c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2.75" customHeight="1" x14ac:dyDescent="0.2">
      <c r="A287" s="3">
        <v>1995</v>
      </c>
      <c r="B287" s="3" t="s">
        <v>401</v>
      </c>
      <c r="C287" s="3" t="str">
        <f>VLOOKUP($B287, '[1]HURDAT Query'!$A$1:$F$1030, 3, 0)</f>
        <v>KAREN</v>
      </c>
      <c r="D287" s="3" t="str">
        <f>VLOOKUP($B287, '[1]HURDAT Query'!$A$1:$F$1030, 4, 0)</f>
        <v>NA</v>
      </c>
      <c r="E287" s="3" t="str">
        <f>VLOOKUP($B287, '[1]HURDAT Query'!$A$1:$F$1030, 5, 0)</f>
        <v>NA</v>
      </c>
      <c r="F287" s="3" t="str">
        <f>VLOOKUP($B287, '[1]HURDAT Query'!$A$1:$F$1030, 6, 0)</f>
        <v>NA</v>
      </c>
      <c r="G287" s="3" t="str">
        <f>_xlfn.IFNA(VLOOKUP(B287, '[1]Landfall Stats'!A:G, 7, 0), "No LF")</f>
        <v>No LF</v>
      </c>
      <c r="H287" s="3" t="str">
        <f>_xlfn.IFNA(VLOOKUP(B287, '[1]Landfall Stats'!A:G, 5, 0), "No LF")</f>
        <v>No LF</v>
      </c>
      <c r="I287" s="3" t="str">
        <f>_xlfn.IFNA(VLOOKUP(B287, '[1]Landfall Stats'!A:G, 6, 0), "No LF")</f>
        <v>No LF</v>
      </c>
      <c r="J287" s="4" t="s">
        <v>386</v>
      </c>
      <c r="K287" s="3">
        <v>0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2.75" customHeight="1" x14ac:dyDescent="0.2">
      <c r="A288" s="3">
        <v>1995</v>
      </c>
      <c r="B288" s="3" t="s">
        <v>402</v>
      </c>
      <c r="C288" s="3" t="str">
        <f>VLOOKUP($B288, '[1]HURDAT Query'!$A$1:$F$1030, 3, 0)</f>
        <v>LUIS</v>
      </c>
      <c r="D288" s="3">
        <f>VLOOKUP($B288, '[1]HURDAT Query'!$A$1:$F$1030, 4, 0)</f>
        <v>4</v>
      </c>
      <c r="E288" s="3">
        <f>VLOOKUP($B288, '[1]HURDAT Query'!$A$1:$F$1030, 5, 0)</f>
        <v>130</v>
      </c>
      <c r="F288" s="3">
        <f>VLOOKUP($B288, '[1]HURDAT Query'!$A$1:$F$1030, 6, 0)</f>
        <v>935</v>
      </c>
      <c r="G288" s="3" t="str">
        <f>_xlfn.IFNA(VLOOKUP(B288, '[1]Landfall Stats'!A:G, 7, 0), "No LF")</f>
        <v>No LF</v>
      </c>
      <c r="H288" s="3" t="str">
        <f>_xlfn.IFNA(VLOOKUP(B288, '[1]Landfall Stats'!A:G, 5, 0), "No LF")</f>
        <v>No LF</v>
      </c>
      <c r="I288" s="3" t="str">
        <f>_xlfn.IFNA(VLOOKUP(B288, '[1]Landfall Stats'!A:G, 6, 0), "No LF")</f>
        <v>No LF</v>
      </c>
      <c r="J288" s="4" t="s">
        <v>386</v>
      </c>
      <c r="K288" s="3">
        <v>0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2.75" customHeight="1" x14ac:dyDescent="0.2">
      <c r="A289" s="3">
        <v>1995</v>
      </c>
      <c r="B289" s="3" t="s">
        <v>403</v>
      </c>
      <c r="C289" s="3" t="str">
        <f>VLOOKUP($B289, '[1]HURDAT Query'!$A$1:$F$1030, 3, 0)</f>
        <v>MARILYN</v>
      </c>
      <c r="D289" s="3">
        <f>VLOOKUP($B289, '[1]HURDAT Query'!$A$1:$F$1030, 4, 0)</f>
        <v>3</v>
      </c>
      <c r="E289" s="3">
        <f>VLOOKUP($B289, '[1]HURDAT Query'!$A$1:$F$1030, 5, 0)</f>
        <v>100</v>
      </c>
      <c r="F289" s="3">
        <f>VLOOKUP($B289, '[1]HURDAT Query'!$A$1:$F$1030, 6, 0)</f>
        <v>949</v>
      </c>
      <c r="G289" s="3" t="str">
        <f>_xlfn.IFNA(VLOOKUP(B289, '[1]Landfall Stats'!A:G, 7, 0), "No LF")</f>
        <v>No LF</v>
      </c>
      <c r="H289" s="3" t="str">
        <f>_xlfn.IFNA(VLOOKUP(B289, '[1]Landfall Stats'!A:G, 5, 0), "No LF")</f>
        <v>No LF</v>
      </c>
      <c r="I289" s="3" t="str">
        <f>_xlfn.IFNA(VLOOKUP(B289, '[1]Landfall Stats'!A:G, 6, 0), "No LF")</f>
        <v>No LF</v>
      </c>
      <c r="J289" s="4" t="s">
        <v>386</v>
      </c>
      <c r="K289" s="3">
        <v>0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2.75" customHeight="1" x14ac:dyDescent="0.2">
      <c r="A290" s="3">
        <v>1995</v>
      </c>
      <c r="B290" s="3" t="s">
        <v>404</v>
      </c>
      <c r="C290" s="3" t="str">
        <f>VLOOKUP($B290, '[1]HURDAT Query'!$A$1:$F$1030, 3, 0)</f>
        <v>NOEL</v>
      </c>
      <c r="D290" s="3">
        <f>VLOOKUP($B290, '[1]HURDAT Query'!$A$1:$F$1030, 4, 0)</f>
        <v>1</v>
      </c>
      <c r="E290" s="3">
        <f>VLOOKUP($B290, '[1]HURDAT Query'!$A$1:$F$1030, 5, 0)</f>
        <v>65</v>
      </c>
      <c r="F290" s="3">
        <f>VLOOKUP($B290, '[1]HURDAT Query'!$A$1:$F$1030, 6, 0)</f>
        <v>987</v>
      </c>
      <c r="G290" s="3" t="str">
        <f>_xlfn.IFNA(VLOOKUP(B290, '[1]Landfall Stats'!A:G, 7, 0), "No LF")</f>
        <v>No LF</v>
      </c>
      <c r="H290" s="3" t="str">
        <f>_xlfn.IFNA(VLOOKUP(B290, '[1]Landfall Stats'!A:G, 5, 0), "No LF")</f>
        <v>No LF</v>
      </c>
      <c r="I290" s="3" t="str">
        <f>_xlfn.IFNA(VLOOKUP(B290, '[1]Landfall Stats'!A:G, 6, 0), "No LF")</f>
        <v>No LF</v>
      </c>
      <c r="J290" s="4" t="s">
        <v>386</v>
      </c>
      <c r="K290" s="3">
        <v>0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E290" s="3"/>
    </row>
    <row r="291" spans="1:31" ht="12.75" customHeight="1" x14ac:dyDescent="0.2">
      <c r="A291" s="3">
        <v>1995</v>
      </c>
      <c r="B291" s="3" t="s">
        <v>405</v>
      </c>
      <c r="C291" s="3" t="str">
        <f>VLOOKUP($B291, '[1]HURDAT Query'!$A$1:$F$1030, 3, 0)</f>
        <v>OPAL</v>
      </c>
      <c r="D291" s="3">
        <f>VLOOKUP($B291, '[1]HURDAT Query'!$A$1:$F$1030, 4, 0)</f>
        <v>4</v>
      </c>
      <c r="E291" s="3">
        <f>VLOOKUP($B291, '[1]HURDAT Query'!$A$1:$F$1030, 5, 0)</f>
        <v>130</v>
      </c>
      <c r="F291" s="3">
        <f>VLOOKUP($B291, '[1]HURDAT Query'!$A$1:$F$1030, 6, 0)</f>
        <v>916</v>
      </c>
      <c r="G291" s="3">
        <f>_xlfn.IFNA(VLOOKUP(B291, '[1]Landfall Stats'!A:G, 7, 0), "No LF")</f>
        <v>3</v>
      </c>
      <c r="H291" s="3">
        <f>_xlfn.IFNA(VLOOKUP(B291, '[1]Landfall Stats'!A:G, 5, 0), "No LF")</f>
        <v>100</v>
      </c>
      <c r="I291" s="3">
        <f>_xlfn.IFNA(VLOOKUP(B291, '[1]Landfall Stats'!A:G, 6, 0), "No LF")</f>
        <v>942</v>
      </c>
      <c r="J291" s="4" t="s">
        <v>406</v>
      </c>
      <c r="K291" s="3">
        <v>13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>
        <v>8</v>
      </c>
      <c r="Y291" s="3" t="s">
        <v>42</v>
      </c>
      <c r="Z291" s="3">
        <v>1</v>
      </c>
      <c r="AA291" s="3" t="s">
        <v>42</v>
      </c>
      <c r="AB291" s="3"/>
      <c r="AC291" s="3"/>
      <c r="AD291" s="3">
        <v>4</v>
      </c>
      <c r="AE291" s="3" t="s">
        <v>42</v>
      </c>
    </row>
    <row r="292" spans="1:31" ht="12.75" customHeight="1" x14ac:dyDescent="0.2">
      <c r="A292" s="3">
        <v>1995</v>
      </c>
      <c r="B292" s="3" t="s">
        <v>407</v>
      </c>
      <c r="C292" s="3" t="str">
        <f>VLOOKUP($B292, '[1]HURDAT Query'!$A$1:$F$1030, 3, 0)</f>
        <v>PABLO</v>
      </c>
      <c r="D292" s="3" t="str">
        <f>VLOOKUP($B292, '[1]HURDAT Query'!$A$1:$F$1030, 4, 0)</f>
        <v>NA</v>
      </c>
      <c r="E292" s="3" t="str">
        <f>VLOOKUP($B292, '[1]HURDAT Query'!$A$1:$F$1030, 5, 0)</f>
        <v>NA</v>
      </c>
      <c r="F292" s="3" t="str">
        <f>VLOOKUP($B292, '[1]HURDAT Query'!$A$1:$F$1030, 6, 0)</f>
        <v>NA</v>
      </c>
      <c r="G292" s="3" t="str">
        <f>_xlfn.IFNA(VLOOKUP(B292, '[1]Landfall Stats'!A:G, 7, 0), "No LF")</f>
        <v>No LF</v>
      </c>
      <c r="H292" s="3" t="str">
        <f>_xlfn.IFNA(VLOOKUP(B292, '[1]Landfall Stats'!A:G, 5, 0), "No LF")</f>
        <v>No LF</v>
      </c>
      <c r="I292" s="3" t="str">
        <f>_xlfn.IFNA(VLOOKUP(B292, '[1]Landfall Stats'!A:G, 6, 0), "No LF")</f>
        <v>No LF</v>
      </c>
      <c r="J292" s="4" t="s">
        <v>386</v>
      </c>
      <c r="K292" s="3">
        <v>0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2.75" customHeight="1" x14ac:dyDescent="0.2">
      <c r="A293" s="3">
        <v>1995</v>
      </c>
      <c r="B293" s="3" t="s">
        <v>408</v>
      </c>
      <c r="C293" s="3" t="str">
        <f>VLOOKUP($B293, '[1]HURDAT Query'!$A$1:$F$1030, 3, 0)</f>
        <v>ROXANNE</v>
      </c>
      <c r="D293" s="3">
        <f>VLOOKUP($B293, '[1]HURDAT Query'!$A$1:$F$1030, 4, 0)</f>
        <v>3</v>
      </c>
      <c r="E293" s="3">
        <f>VLOOKUP($B293, '[1]HURDAT Query'!$A$1:$F$1030, 5, 0)</f>
        <v>100</v>
      </c>
      <c r="F293" s="3">
        <f>VLOOKUP($B293, '[1]HURDAT Query'!$A$1:$F$1030, 6, 0)</f>
        <v>956</v>
      </c>
      <c r="G293" s="3" t="str">
        <f>_xlfn.IFNA(VLOOKUP(B293, '[1]Landfall Stats'!A:G, 7, 0), "No LF")</f>
        <v>No LF</v>
      </c>
      <c r="H293" s="3" t="str">
        <f>_xlfn.IFNA(VLOOKUP(B293, '[1]Landfall Stats'!A:G, 5, 0), "No LF")</f>
        <v>No LF</v>
      </c>
      <c r="I293" s="3" t="str">
        <f>_xlfn.IFNA(VLOOKUP(B293, '[1]Landfall Stats'!A:G, 6, 0), "No LF")</f>
        <v>No LF</v>
      </c>
      <c r="J293" s="4" t="s">
        <v>386</v>
      </c>
      <c r="K293" s="3">
        <v>0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2.75" customHeight="1" x14ac:dyDescent="0.2">
      <c r="A294" s="3">
        <v>1995</v>
      </c>
      <c r="B294" s="3" t="s">
        <v>409</v>
      </c>
      <c r="C294" s="3" t="str">
        <f>VLOOKUP($B294, '[1]HURDAT Query'!$A$1:$F$1030, 3, 0)</f>
        <v>SEBASTIEN</v>
      </c>
      <c r="D294" s="3" t="str">
        <f>VLOOKUP($B294, '[1]HURDAT Query'!$A$1:$F$1030, 4, 0)</f>
        <v>NA</v>
      </c>
      <c r="E294" s="3" t="str">
        <f>VLOOKUP($B294, '[1]HURDAT Query'!$A$1:$F$1030, 5, 0)</f>
        <v>NA</v>
      </c>
      <c r="F294" s="3" t="str">
        <f>VLOOKUP($B294, '[1]HURDAT Query'!$A$1:$F$1030, 6, 0)</f>
        <v>NA</v>
      </c>
      <c r="G294" s="3" t="str">
        <f>_xlfn.IFNA(VLOOKUP(B294, '[1]Landfall Stats'!A:G, 7, 0), "No LF")</f>
        <v>No LF</v>
      </c>
      <c r="H294" s="3" t="str">
        <f>_xlfn.IFNA(VLOOKUP(B294, '[1]Landfall Stats'!A:G, 5, 0), "No LF")</f>
        <v>No LF</v>
      </c>
      <c r="I294" s="3" t="str">
        <f>_xlfn.IFNA(VLOOKUP(B294, '[1]Landfall Stats'!A:G, 6, 0), "No LF")</f>
        <v>No LF</v>
      </c>
      <c r="J294" s="4" t="s">
        <v>386</v>
      </c>
      <c r="K294" s="3">
        <v>0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12.75" customHeight="1" x14ac:dyDescent="0.2">
      <c r="A295" s="3">
        <v>1995</v>
      </c>
      <c r="B295" s="3" t="s">
        <v>410</v>
      </c>
      <c r="C295" s="3" t="str">
        <f>VLOOKUP($B295, '[1]HURDAT Query'!$A$1:$F$1030, 3, 0)</f>
        <v>TANYA</v>
      </c>
      <c r="D295" s="3">
        <f>VLOOKUP($B295, '[1]HURDAT Query'!$A$1:$F$1030, 4, 0)</f>
        <v>1</v>
      </c>
      <c r="E295" s="3">
        <f>VLOOKUP($B295, '[1]HURDAT Query'!$A$1:$F$1030, 5, 0)</f>
        <v>75</v>
      </c>
      <c r="F295" s="3">
        <f>VLOOKUP($B295, '[1]HURDAT Query'!$A$1:$F$1030, 6, 0)</f>
        <v>972</v>
      </c>
      <c r="G295" s="3" t="str">
        <f>_xlfn.IFNA(VLOOKUP(B295, '[1]Landfall Stats'!A:G, 7, 0), "No LF")</f>
        <v>No LF</v>
      </c>
      <c r="H295" s="3" t="str">
        <f>_xlfn.IFNA(VLOOKUP(B295, '[1]Landfall Stats'!A:G, 5, 0), "No LF")</f>
        <v>No LF</v>
      </c>
      <c r="I295" s="3" t="str">
        <f>_xlfn.IFNA(VLOOKUP(B295, '[1]Landfall Stats'!A:G, 6, 0), "No LF")</f>
        <v>No LF</v>
      </c>
      <c r="J295" s="4" t="s">
        <v>386</v>
      </c>
      <c r="K295" s="3">
        <v>0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2.75" customHeight="1" x14ac:dyDescent="0.2">
      <c r="A296" s="3">
        <v>1996</v>
      </c>
      <c r="B296" s="3" t="s">
        <v>411</v>
      </c>
      <c r="C296" s="3" t="str">
        <f>VLOOKUP($B296, '[1]HURDAT Query'!$A$1:$F$1030, 3, 0)</f>
        <v>ARTHUR</v>
      </c>
      <c r="D296" s="3" t="str">
        <f>VLOOKUP($B296, '[1]HURDAT Query'!$A$1:$F$1030, 4, 0)</f>
        <v>NA</v>
      </c>
      <c r="E296" s="3" t="str">
        <f>VLOOKUP($B296, '[1]HURDAT Query'!$A$1:$F$1030, 5, 0)</f>
        <v>NA</v>
      </c>
      <c r="F296" s="3" t="str">
        <f>VLOOKUP($B296, '[1]HURDAT Query'!$A$1:$F$1030, 6, 0)</f>
        <v>NA</v>
      </c>
      <c r="G296" s="3" t="str">
        <f>_xlfn.IFNA(VLOOKUP(B296, '[1]Landfall Stats'!A:G, 7, 0), "No LF")</f>
        <v>No LF</v>
      </c>
      <c r="H296" s="3" t="str">
        <f>_xlfn.IFNA(VLOOKUP(B296, '[1]Landfall Stats'!A:G, 5, 0), "No LF")</f>
        <v>No LF</v>
      </c>
      <c r="I296" s="3" t="str">
        <f>_xlfn.IFNA(VLOOKUP(B296, '[1]Landfall Stats'!A:G, 6, 0), "No LF")</f>
        <v>No LF</v>
      </c>
      <c r="J296" s="4" t="s">
        <v>412</v>
      </c>
      <c r="K296" s="3">
        <v>0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2.75" customHeight="1" x14ac:dyDescent="0.2">
      <c r="A297" s="3">
        <v>1996</v>
      </c>
      <c r="B297" s="3" t="s">
        <v>413</v>
      </c>
      <c r="C297" s="3" t="str">
        <f>VLOOKUP($B297, '[1]HURDAT Query'!$A$1:$F$1030, 3, 0)</f>
        <v>BERTHA</v>
      </c>
      <c r="D297" s="3">
        <f>VLOOKUP($B297, '[1]HURDAT Query'!$A$1:$F$1030, 4, 0)</f>
        <v>3</v>
      </c>
      <c r="E297" s="3">
        <f>VLOOKUP($B297, '[1]HURDAT Query'!$A$1:$F$1030, 5, 0)</f>
        <v>100</v>
      </c>
      <c r="F297" s="3">
        <f>VLOOKUP($B297, '[1]HURDAT Query'!$A$1:$F$1030, 6, 0)</f>
        <v>960</v>
      </c>
      <c r="G297" s="3">
        <f>_xlfn.IFNA(VLOOKUP(B297, '[1]Landfall Stats'!A:G, 7, 0), "No LF")</f>
        <v>2</v>
      </c>
      <c r="H297" s="3">
        <f>_xlfn.IFNA(VLOOKUP(B297, '[1]Landfall Stats'!A:G, 5, 0), "No LF")</f>
        <v>90</v>
      </c>
      <c r="I297" s="3">
        <f>_xlfn.IFNA(VLOOKUP(B297, '[1]Landfall Stats'!A:G, 6, 0), "No LF")</f>
        <v>974</v>
      </c>
      <c r="J297" s="4" t="s">
        <v>414</v>
      </c>
      <c r="K297" s="3">
        <v>7</v>
      </c>
      <c r="L297" s="3"/>
      <c r="M297" s="3"/>
      <c r="N297" s="3">
        <v>1</v>
      </c>
      <c r="O297" s="3" t="s">
        <v>84</v>
      </c>
      <c r="P297" s="3"/>
      <c r="Q297" s="3"/>
      <c r="R297" s="3">
        <v>4</v>
      </c>
      <c r="S297" s="3" t="s">
        <v>415</v>
      </c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>
        <v>2</v>
      </c>
      <c r="AE297" s="3" t="s">
        <v>42</v>
      </c>
    </row>
    <row r="298" spans="1:31" ht="12.75" customHeight="1" x14ac:dyDescent="0.2">
      <c r="A298" s="3">
        <v>1996</v>
      </c>
      <c r="B298" s="3" t="s">
        <v>416</v>
      </c>
      <c r="C298" s="3" t="str">
        <f>VLOOKUP($B298, '[1]HURDAT Query'!$A$1:$F$1030, 3, 0)</f>
        <v>CESAR</v>
      </c>
      <c r="D298" s="3">
        <f>VLOOKUP($B298, '[1]HURDAT Query'!$A$1:$F$1030, 4, 0)</f>
        <v>1</v>
      </c>
      <c r="E298" s="3">
        <f>VLOOKUP($B298, '[1]HURDAT Query'!$A$1:$F$1030, 5, 0)</f>
        <v>75</v>
      </c>
      <c r="F298" s="3">
        <f>VLOOKUP($B298, '[1]HURDAT Query'!$A$1:$F$1030, 6, 0)</f>
        <v>985</v>
      </c>
      <c r="G298" s="3" t="str">
        <f>_xlfn.IFNA(VLOOKUP(B298, '[1]Landfall Stats'!A:G, 7, 0), "No LF")</f>
        <v>No LF</v>
      </c>
      <c r="H298" s="3" t="str">
        <f>_xlfn.IFNA(VLOOKUP(B298, '[1]Landfall Stats'!A:G, 5, 0), "No LF")</f>
        <v>No LF</v>
      </c>
      <c r="I298" s="3" t="str">
        <f>_xlfn.IFNA(VLOOKUP(B298, '[1]Landfall Stats'!A:G, 6, 0), "No LF")</f>
        <v>No LF</v>
      </c>
      <c r="J298" s="4" t="s">
        <v>417</v>
      </c>
      <c r="K298" s="3">
        <v>0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2.75" customHeight="1" x14ac:dyDescent="0.2">
      <c r="A299" s="3">
        <v>1996</v>
      </c>
      <c r="B299" s="3" t="s">
        <v>418</v>
      </c>
      <c r="C299" s="3" t="str">
        <f>VLOOKUP($B299, '[1]HURDAT Query'!$A$1:$F$1030, 3, 0)</f>
        <v>DOLLY</v>
      </c>
      <c r="D299" s="3">
        <f>VLOOKUP($B299, '[1]HURDAT Query'!$A$1:$F$1030, 4, 0)</f>
        <v>1</v>
      </c>
      <c r="E299" s="3">
        <f>VLOOKUP($B299, '[1]HURDAT Query'!$A$1:$F$1030, 5, 0)</f>
        <v>70</v>
      </c>
      <c r="F299" s="3">
        <f>VLOOKUP($B299, '[1]HURDAT Query'!$A$1:$F$1030, 6, 0)</f>
        <v>989</v>
      </c>
      <c r="G299" s="3" t="str">
        <f>_xlfn.IFNA(VLOOKUP(B299, '[1]Landfall Stats'!A:G, 7, 0), "No LF")</f>
        <v>No LF</v>
      </c>
      <c r="H299" s="3" t="str">
        <f>_xlfn.IFNA(VLOOKUP(B299, '[1]Landfall Stats'!A:G, 5, 0), "No LF")</f>
        <v>No LF</v>
      </c>
      <c r="I299" s="3" t="str">
        <f>_xlfn.IFNA(VLOOKUP(B299, '[1]Landfall Stats'!A:G, 6, 0), "No LF")</f>
        <v>No LF</v>
      </c>
      <c r="J299" s="4" t="s">
        <v>419</v>
      </c>
      <c r="K299" s="3">
        <v>0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2.75" customHeight="1" x14ac:dyDescent="0.2">
      <c r="A300" s="3">
        <v>1996</v>
      </c>
      <c r="B300" s="3" t="s">
        <v>420</v>
      </c>
      <c r="C300" s="3" t="str">
        <f>VLOOKUP($B300, '[1]HURDAT Query'!$A$1:$F$1030, 3, 0)</f>
        <v>EDOUARD</v>
      </c>
      <c r="D300" s="3">
        <f>VLOOKUP($B300, '[1]HURDAT Query'!$A$1:$F$1030, 4, 0)</f>
        <v>4</v>
      </c>
      <c r="E300" s="3">
        <f>VLOOKUP($B300, '[1]HURDAT Query'!$A$1:$F$1030, 5, 0)</f>
        <v>125</v>
      </c>
      <c r="F300" s="3">
        <f>VLOOKUP($B300, '[1]HURDAT Query'!$A$1:$F$1030, 6, 0)</f>
        <v>933</v>
      </c>
      <c r="G300" s="3" t="str">
        <f>_xlfn.IFNA(VLOOKUP(B300, '[1]Landfall Stats'!A:G, 7, 0), "No LF")</f>
        <v>No LF</v>
      </c>
      <c r="H300" s="3" t="str">
        <f>_xlfn.IFNA(VLOOKUP(B300, '[1]Landfall Stats'!A:G, 5, 0), "No LF")</f>
        <v>No LF</v>
      </c>
      <c r="I300" s="3" t="str">
        <f>_xlfn.IFNA(VLOOKUP(B300, '[1]Landfall Stats'!A:G, 6, 0), "No LF")</f>
        <v>No LF</v>
      </c>
      <c r="J300" s="4" t="s">
        <v>421</v>
      </c>
      <c r="K300" s="3">
        <v>2</v>
      </c>
      <c r="L300" s="3"/>
      <c r="M300" s="3"/>
      <c r="N300" s="3">
        <v>2</v>
      </c>
      <c r="O300" s="3" t="s">
        <v>84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12.75" customHeight="1" x14ac:dyDescent="0.2">
      <c r="A301" s="3">
        <v>1996</v>
      </c>
      <c r="B301" s="3" t="s">
        <v>422</v>
      </c>
      <c r="C301" s="3" t="str">
        <f>VLOOKUP($B301, '[1]HURDAT Query'!$A$1:$F$1030, 3, 0)</f>
        <v>FRAN</v>
      </c>
      <c r="D301" s="3">
        <f>VLOOKUP($B301, '[1]HURDAT Query'!$A$1:$F$1030, 4, 0)</f>
        <v>3</v>
      </c>
      <c r="E301" s="3">
        <f>VLOOKUP($B301, '[1]HURDAT Query'!$A$1:$F$1030, 5, 0)</f>
        <v>105</v>
      </c>
      <c r="F301" s="3">
        <f>VLOOKUP($B301, '[1]HURDAT Query'!$A$1:$F$1030, 6, 0)</f>
        <v>946</v>
      </c>
      <c r="G301" s="3">
        <f>_xlfn.IFNA(VLOOKUP(B301, '[1]Landfall Stats'!A:G, 7, 0), "No LF")</f>
        <v>3</v>
      </c>
      <c r="H301" s="3">
        <f>_xlfn.IFNA(VLOOKUP(B301, '[1]Landfall Stats'!A:G, 5, 0), "No LF")</f>
        <v>100</v>
      </c>
      <c r="I301" s="3">
        <f>_xlfn.IFNA(VLOOKUP(B301, '[1]Landfall Stats'!A:G, 6, 0), "No LF")</f>
        <v>954</v>
      </c>
      <c r="J301" s="4" t="s">
        <v>423</v>
      </c>
      <c r="K301" s="3">
        <v>19</v>
      </c>
      <c r="L301" s="3">
        <v>1</v>
      </c>
      <c r="M301" s="3" t="s">
        <v>42</v>
      </c>
      <c r="N301" s="3"/>
      <c r="O301" s="3"/>
      <c r="P301" s="3"/>
      <c r="Q301" s="3"/>
      <c r="R301" s="3"/>
      <c r="S301" s="3"/>
      <c r="T301" s="3">
        <v>11</v>
      </c>
      <c r="U301" s="3"/>
      <c r="V301" s="3">
        <v>5</v>
      </c>
      <c r="W301" s="3" t="s">
        <v>42</v>
      </c>
      <c r="X301" s="3"/>
      <c r="Y301" s="3"/>
      <c r="Z301" s="3"/>
      <c r="AA301" s="3"/>
      <c r="AB301" s="3"/>
      <c r="AC301" s="3"/>
      <c r="AD301" s="3">
        <v>2</v>
      </c>
      <c r="AE301" s="3" t="s">
        <v>42</v>
      </c>
    </row>
    <row r="302" spans="1:31" ht="12.75" customHeight="1" x14ac:dyDescent="0.2">
      <c r="A302" s="3">
        <v>1996</v>
      </c>
      <c r="B302" s="3" t="s">
        <v>424</v>
      </c>
      <c r="C302" s="3" t="str">
        <f>VLOOKUP($B302, '[1]HURDAT Query'!$A$1:$F$1030, 3, 0)</f>
        <v>GUSTAV</v>
      </c>
      <c r="D302" s="3" t="str">
        <f>VLOOKUP($B302, '[1]HURDAT Query'!$A$1:$F$1030, 4, 0)</f>
        <v>NA</v>
      </c>
      <c r="E302" s="3" t="str">
        <f>VLOOKUP($B302, '[1]HURDAT Query'!$A$1:$F$1030, 5, 0)</f>
        <v>NA</v>
      </c>
      <c r="F302" s="3" t="str">
        <f>VLOOKUP($B302, '[1]HURDAT Query'!$A$1:$F$1030, 6, 0)</f>
        <v>NA</v>
      </c>
      <c r="G302" s="3" t="str">
        <f>_xlfn.IFNA(VLOOKUP(B302, '[1]Landfall Stats'!A:G, 7, 0), "No LF")</f>
        <v>No LF</v>
      </c>
      <c r="H302" s="3" t="str">
        <f>_xlfn.IFNA(VLOOKUP(B302, '[1]Landfall Stats'!A:G, 5, 0), "No LF")</f>
        <v>No LF</v>
      </c>
      <c r="I302" s="3" t="str">
        <f>_xlfn.IFNA(VLOOKUP(B302, '[1]Landfall Stats'!A:G, 6, 0), "No LF")</f>
        <v>No LF</v>
      </c>
      <c r="J302" s="4" t="s">
        <v>425</v>
      </c>
      <c r="K302" s="3">
        <v>0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2.75" customHeight="1" x14ac:dyDescent="0.2">
      <c r="A303" s="3">
        <v>1996</v>
      </c>
      <c r="B303" s="3" t="s">
        <v>426</v>
      </c>
      <c r="C303" s="3" t="str">
        <f>VLOOKUP($B303, '[1]HURDAT Query'!$A$1:$F$1030, 3, 0)</f>
        <v>HORTENSE</v>
      </c>
      <c r="D303" s="3">
        <f>VLOOKUP($B303, '[1]HURDAT Query'!$A$1:$F$1030, 4, 0)</f>
        <v>4</v>
      </c>
      <c r="E303" s="3">
        <f>VLOOKUP($B303, '[1]HURDAT Query'!$A$1:$F$1030, 5, 0)</f>
        <v>120</v>
      </c>
      <c r="F303" s="3">
        <f>VLOOKUP($B303, '[1]HURDAT Query'!$A$1:$F$1030, 6, 0)</f>
        <v>935</v>
      </c>
      <c r="G303" s="3" t="str">
        <f>_xlfn.IFNA(VLOOKUP(B303, '[1]Landfall Stats'!A:G, 7, 0), "No LF")</f>
        <v>No LF</v>
      </c>
      <c r="H303" s="3" t="str">
        <f>_xlfn.IFNA(VLOOKUP(B303, '[1]Landfall Stats'!A:G, 5, 0), "No LF")</f>
        <v>No LF</v>
      </c>
      <c r="I303" s="3" t="str">
        <f>_xlfn.IFNA(VLOOKUP(B303, '[1]Landfall Stats'!A:G, 6, 0), "No LF")</f>
        <v>No LF</v>
      </c>
      <c r="J303" s="4" t="s">
        <v>427</v>
      </c>
      <c r="K303" s="3">
        <v>0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2.75" customHeight="1" x14ac:dyDescent="0.2">
      <c r="A304" s="3">
        <v>1996</v>
      </c>
      <c r="B304" s="3" t="s">
        <v>428</v>
      </c>
      <c r="C304" s="3" t="str">
        <f>VLOOKUP($B304, '[1]HURDAT Query'!$A$1:$F$1030, 3, 0)</f>
        <v>ISIDORE</v>
      </c>
      <c r="D304" s="3">
        <f>VLOOKUP($B304, '[1]HURDAT Query'!$A$1:$F$1030, 4, 0)</f>
        <v>3</v>
      </c>
      <c r="E304" s="3">
        <f>VLOOKUP($B304, '[1]HURDAT Query'!$A$1:$F$1030, 5, 0)</f>
        <v>100</v>
      </c>
      <c r="F304" s="3">
        <f>VLOOKUP($B304, '[1]HURDAT Query'!$A$1:$F$1030, 6, 0)</f>
        <v>960</v>
      </c>
      <c r="G304" s="3" t="str">
        <f>_xlfn.IFNA(VLOOKUP(B304, '[1]Landfall Stats'!A:G, 7, 0), "No LF")</f>
        <v>No LF</v>
      </c>
      <c r="H304" s="3" t="str">
        <f>_xlfn.IFNA(VLOOKUP(B304, '[1]Landfall Stats'!A:G, 5, 0), "No LF")</f>
        <v>No LF</v>
      </c>
      <c r="I304" s="3" t="str">
        <f>_xlfn.IFNA(VLOOKUP(B304, '[1]Landfall Stats'!A:G, 6, 0), "No LF")</f>
        <v>No LF</v>
      </c>
      <c r="J304" s="4" t="s">
        <v>429</v>
      </c>
      <c r="K304" s="3">
        <v>0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2.75" customHeight="1" x14ac:dyDescent="0.2">
      <c r="A305" s="3">
        <v>1996</v>
      </c>
      <c r="B305" s="3" t="s">
        <v>430</v>
      </c>
      <c r="C305" s="3" t="str">
        <f>VLOOKUP($B305, '[1]HURDAT Query'!$A$1:$F$1030, 3, 0)</f>
        <v>JOSEPHINE</v>
      </c>
      <c r="D305" s="3" t="str">
        <f>VLOOKUP($B305, '[1]HURDAT Query'!$A$1:$F$1030, 4, 0)</f>
        <v>NA</v>
      </c>
      <c r="E305" s="3" t="str">
        <f>VLOOKUP($B305, '[1]HURDAT Query'!$A$1:$F$1030, 5, 0)</f>
        <v>NA</v>
      </c>
      <c r="F305" s="3" t="str">
        <f>VLOOKUP($B305, '[1]HURDAT Query'!$A$1:$F$1030, 6, 0)</f>
        <v>NA</v>
      </c>
      <c r="G305" s="3" t="str">
        <f>_xlfn.IFNA(VLOOKUP(B305, '[1]Landfall Stats'!A:G, 7, 0), "No LF")</f>
        <v>NA</v>
      </c>
      <c r="H305" s="3">
        <f>_xlfn.IFNA(VLOOKUP(B305, '[1]Landfall Stats'!A:G, 5, 0), "No LF")</f>
        <v>60</v>
      </c>
      <c r="I305" s="3">
        <f>_xlfn.IFNA(VLOOKUP(B305, '[1]Landfall Stats'!A:G, 6, 0), "No LF")</f>
        <v>983</v>
      </c>
      <c r="J305" s="4" t="s">
        <v>431</v>
      </c>
      <c r="K305" s="3">
        <v>0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2.75" customHeight="1" x14ac:dyDescent="0.2">
      <c r="A306" s="3">
        <v>1996</v>
      </c>
      <c r="B306" s="3" t="s">
        <v>432</v>
      </c>
      <c r="C306" s="3" t="str">
        <f>VLOOKUP($B306, '[1]HURDAT Query'!$A$1:$F$1030, 3, 0)</f>
        <v>KYLE</v>
      </c>
      <c r="D306" s="3" t="str">
        <f>VLOOKUP($B306, '[1]HURDAT Query'!$A$1:$F$1030, 4, 0)</f>
        <v>NA</v>
      </c>
      <c r="E306" s="3" t="str">
        <f>VLOOKUP($B306, '[1]HURDAT Query'!$A$1:$F$1030, 5, 0)</f>
        <v>NA</v>
      </c>
      <c r="F306" s="3" t="str">
        <f>VLOOKUP($B306, '[1]HURDAT Query'!$A$1:$F$1030, 6, 0)</f>
        <v>NA</v>
      </c>
      <c r="G306" s="3" t="str">
        <f>_xlfn.IFNA(VLOOKUP(B306, '[1]Landfall Stats'!A:G, 7, 0), "No LF")</f>
        <v>No LF</v>
      </c>
      <c r="H306" s="3" t="str">
        <f>_xlfn.IFNA(VLOOKUP(B306, '[1]Landfall Stats'!A:G, 5, 0), "No LF")</f>
        <v>No LF</v>
      </c>
      <c r="I306" s="3" t="str">
        <f>_xlfn.IFNA(VLOOKUP(B306, '[1]Landfall Stats'!A:G, 6, 0), "No LF")</f>
        <v>No LF</v>
      </c>
      <c r="J306" s="4" t="s">
        <v>433</v>
      </c>
      <c r="K306" s="3">
        <v>0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2.75" customHeight="1" x14ac:dyDescent="0.2">
      <c r="A307" s="3">
        <v>1996</v>
      </c>
      <c r="B307" s="3" t="s">
        <v>434</v>
      </c>
      <c r="C307" s="3" t="str">
        <f>VLOOKUP($B307, '[1]HURDAT Query'!$A$1:$F$1030, 3, 0)</f>
        <v>LILI</v>
      </c>
      <c r="D307" s="3">
        <f>VLOOKUP($B307, '[1]HURDAT Query'!$A$1:$F$1030, 4, 0)</f>
        <v>3</v>
      </c>
      <c r="E307" s="3">
        <f>VLOOKUP($B307, '[1]HURDAT Query'!$A$1:$F$1030, 5, 0)</f>
        <v>100</v>
      </c>
      <c r="F307" s="3">
        <f>VLOOKUP($B307, '[1]HURDAT Query'!$A$1:$F$1030, 6, 0)</f>
        <v>960</v>
      </c>
      <c r="G307" s="3" t="str">
        <f>_xlfn.IFNA(VLOOKUP(B307, '[1]Landfall Stats'!A:G, 7, 0), "No LF")</f>
        <v>No LF</v>
      </c>
      <c r="H307" s="3" t="str">
        <f>_xlfn.IFNA(VLOOKUP(B307, '[1]Landfall Stats'!A:G, 5, 0), "No LF")</f>
        <v>No LF</v>
      </c>
      <c r="I307" s="3" t="str">
        <f>_xlfn.IFNA(VLOOKUP(B307, '[1]Landfall Stats'!A:G, 6, 0), "No LF")</f>
        <v>No LF</v>
      </c>
      <c r="J307" s="4" t="s">
        <v>435</v>
      </c>
      <c r="K307" s="3">
        <v>0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2.75" customHeight="1" x14ac:dyDescent="0.2">
      <c r="A308" s="3">
        <v>1996</v>
      </c>
      <c r="B308" s="3" t="s">
        <v>436</v>
      </c>
      <c r="C308" s="3" t="str">
        <f>VLOOKUP($B308, '[1]HURDAT Query'!$A$1:$F$1030, 3, 0)</f>
        <v>MARCO</v>
      </c>
      <c r="D308" s="3">
        <f>VLOOKUP($B308, '[1]HURDAT Query'!$A$1:$F$1030, 4, 0)</f>
        <v>1</v>
      </c>
      <c r="E308" s="3">
        <f>VLOOKUP($B308, '[1]HURDAT Query'!$A$1:$F$1030, 5, 0)</f>
        <v>65</v>
      </c>
      <c r="F308" s="3">
        <f>VLOOKUP($B308, '[1]HURDAT Query'!$A$1:$F$1030, 6, 0)</f>
        <v>983</v>
      </c>
      <c r="G308" s="3" t="str">
        <f>_xlfn.IFNA(VLOOKUP(B308, '[1]Landfall Stats'!A:G, 7, 0), "No LF")</f>
        <v>No LF</v>
      </c>
      <c r="H308" s="3" t="str">
        <f>_xlfn.IFNA(VLOOKUP(B308, '[1]Landfall Stats'!A:G, 5, 0), "No LF")</f>
        <v>No LF</v>
      </c>
      <c r="I308" s="3" t="str">
        <f>_xlfn.IFNA(VLOOKUP(B308, '[1]Landfall Stats'!A:G, 6, 0), "No LF")</f>
        <v>No LF</v>
      </c>
      <c r="J308" s="4" t="s">
        <v>437</v>
      </c>
      <c r="K308" s="3">
        <v>0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2.75" customHeight="1" x14ac:dyDescent="0.2">
      <c r="A309" s="3">
        <v>1997</v>
      </c>
      <c r="B309" s="3" t="s">
        <v>438</v>
      </c>
      <c r="C309" s="3" t="str">
        <f>VLOOKUP($B309, '[1]HURDAT Query'!$A$1:$F$1030, 3, 0)</f>
        <v>ANA</v>
      </c>
      <c r="D309" s="3" t="str">
        <f>VLOOKUP($B309, '[1]HURDAT Query'!$A$1:$F$1030, 4, 0)</f>
        <v>NA</v>
      </c>
      <c r="E309" s="3" t="str">
        <f>VLOOKUP($B309, '[1]HURDAT Query'!$A$1:$F$1030, 5, 0)</f>
        <v>NA</v>
      </c>
      <c r="F309" s="3" t="str">
        <f>VLOOKUP($B309, '[1]HURDAT Query'!$A$1:$F$1030, 6, 0)</f>
        <v>NA</v>
      </c>
      <c r="G309" s="3" t="str">
        <f>_xlfn.IFNA(VLOOKUP(B309, '[1]Landfall Stats'!A:G, 7, 0), "No LF")</f>
        <v>No LF</v>
      </c>
      <c r="H309" s="3" t="str">
        <f>_xlfn.IFNA(VLOOKUP(B309, '[1]Landfall Stats'!A:G, 5, 0), "No LF")</f>
        <v>No LF</v>
      </c>
      <c r="I309" s="3" t="str">
        <f>_xlfn.IFNA(VLOOKUP(B309, '[1]Landfall Stats'!A:G, 6, 0), "No LF")</f>
        <v>No LF</v>
      </c>
      <c r="J309" s="4" t="s">
        <v>439</v>
      </c>
      <c r="K309" s="3">
        <v>0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2.75" customHeight="1" x14ac:dyDescent="0.2">
      <c r="A310" s="3">
        <v>1997</v>
      </c>
      <c r="B310" s="3" t="s">
        <v>440</v>
      </c>
      <c r="C310" s="3" t="str">
        <f>VLOOKUP($B310, '[1]HURDAT Query'!$A$1:$F$1030, 3, 0)</f>
        <v>BILL</v>
      </c>
      <c r="D310" s="3">
        <f>VLOOKUP($B310, '[1]HURDAT Query'!$A$1:$F$1030, 4, 0)</f>
        <v>1</v>
      </c>
      <c r="E310" s="3">
        <f>VLOOKUP($B310, '[1]HURDAT Query'!$A$1:$F$1030, 5, 0)</f>
        <v>65</v>
      </c>
      <c r="F310" s="3">
        <f>VLOOKUP($B310, '[1]HURDAT Query'!$A$1:$F$1030, 6, 0)</f>
        <v>986</v>
      </c>
      <c r="G310" s="3" t="str">
        <f>_xlfn.IFNA(VLOOKUP(B310, '[1]Landfall Stats'!A:G, 7, 0), "No LF")</f>
        <v>No LF</v>
      </c>
      <c r="H310" s="3" t="str">
        <f>_xlfn.IFNA(VLOOKUP(B310, '[1]Landfall Stats'!A:G, 5, 0), "No LF")</f>
        <v>No LF</v>
      </c>
      <c r="I310" s="3" t="str">
        <f>_xlfn.IFNA(VLOOKUP(B310, '[1]Landfall Stats'!A:G, 6, 0), "No LF")</f>
        <v>No LF</v>
      </c>
      <c r="J310" s="4" t="s">
        <v>441</v>
      </c>
      <c r="K310" s="3">
        <v>0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2.75" customHeight="1" x14ac:dyDescent="0.2">
      <c r="A311" s="3">
        <v>1997</v>
      </c>
      <c r="B311" s="3" t="s">
        <v>442</v>
      </c>
      <c r="C311" s="3" t="str">
        <f>VLOOKUP($B311, '[1]HURDAT Query'!$A$1:$F$1030, 3, 0)</f>
        <v>CLAUDETTE</v>
      </c>
      <c r="D311" s="3" t="str">
        <f>VLOOKUP($B311, '[1]HURDAT Query'!$A$1:$F$1030, 4, 0)</f>
        <v>NA</v>
      </c>
      <c r="E311" s="3" t="str">
        <f>VLOOKUP($B311, '[1]HURDAT Query'!$A$1:$F$1030, 5, 0)</f>
        <v>NA</v>
      </c>
      <c r="F311" s="3" t="str">
        <f>VLOOKUP($B311, '[1]HURDAT Query'!$A$1:$F$1030, 6, 0)</f>
        <v>NA</v>
      </c>
      <c r="G311" s="3" t="str">
        <f>_xlfn.IFNA(VLOOKUP(B311, '[1]Landfall Stats'!A:G, 7, 0), "No LF")</f>
        <v>No LF</v>
      </c>
      <c r="H311" s="3" t="str">
        <f>_xlfn.IFNA(VLOOKUP(B311, '[1]Landfall Stats'!A:G, 5, 0), "No LF")</f>
        <v>No LF</v>
      </c>
      <c r="I311" s="3" t="str">
        <f>_xlfn.IFNA(VLOOKUP(B311, '[1]Landfall Stats'!A:G, 6, 0), "No LF")</f>
        <v>No LF</v>
      </c>
      <c r="J311" s="4" t="s">
        <v>443</v>
      </c>
      <c r="K311" s="3">
        <v>0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12.75" customHeight="1" x14ac:dyDescent="0.2">
      <c r="A312" s="3">
        <v>1997</v>
      </c>
      <c r="B312" s="3" t="s">
        <v>444</v>
      </c>
      <c r="C312" s="3" t="str">
        <f>VLOOKUP($B312, '[1]HURDAT Query'!$A$1:$F$1030, 3, 0)</f>
        <v>DANNY</v>
      </c>
      <c r="D312" s="3">
        <f>VLOOKUP($B312, '[1]HURDAT Query'!$A$1:$F$1030, 4, 0)</f>
        <v>1</v>
      </c>
      <c r="E312" s="3">
        <f>VLOOKUP($B312, '[1]HURDAT Query'!$A$1:$F$1030, 5, 0)</f>
        <v>70</v>
      </c>
      <c r="F312" s="3">
        <f>VLOOKUP($B312, '[1]HURDAT Query'!$A$1:$F$1030, 6, 0)</f>
        <v>984</v>
      </c>
      <c r="G312" s="3">
        <f>_xlfn.IFNA(VLOOKUP(B312, '[1]Landfall Stats'!A:G, 7, 0), "No LF")</f>
        <v>1</v>
      </c>
      <c r="H312" s="3">
        <f>_xlfn.IFNA(VLOOKUP(B312, '[1]Landfall Stats'!A:G, 5, 0), "No LF")</f>
        <v>70</v>
      </c>
      <c r="I312" s="3">
        <f>_xlfn.IFNA(VLOOKUP(B312, '[1]Landfall Stats'!A:G, 6, 0), "No LF")</f>
        <v>984</v>
      </c>
      <c r="J312" s="4" t="s">
        <v>445</v>
      </c>
      <c r="K312" s="3">
        <v>4</v>
      </c>
      <c r="L312" s="3"/>
      <c r="M312" s="3"/>
      <c r="N312" s="3"/>
      <c r="O312" s="3"/>
      <c r="P312" s="3">
        <v>1</v>
      </c>
      <c r="Q312" s="3" t="s">
        <v>308</v>
      </c>
      <c r="R312" s="3"/>
      <c r="S312" s="3"/>
      <c r="T312" s="3">
        <v>2</v>
      </c>
      <c r="U312" s="3" t="s">
        <v>290</v>
      </c>
      <c r="V312" s="3"/>
      <c r="W312" s="3"/>
      <c r="X312" s="3"/>
      <c r="Y312" s="3"/>
      <c r="Z312" s="3">
        <v>1</v>
      </c>
      <c r="AA312" s="3" t="s">
        <v>310</v>
      </c>
      <c r="AB312" s="3"/>
      <c r="AC312" s="3"/>
      <c r="AD312" s="3"/>
      <c r="AE312" s="3"/>
    </row>
    <row r="313" spans="1:31" ht="12.75" customHeight="1" x14ac:dyDescent="0.2">
      <c r="A313" s="3">
        <v>1997</v>
      </c>
      <c r="B313" s="3" t="s">
        <v>446</v>
      </c>
      <c r="C313" s="3" t="str">
        <f>VLOOKUP($B313, '[1]HURDAT Query'!$A$1:$F$1030, 3, 0)</f>
        <v>ERIKA</v>
      </c>
      <c r="D313" s="3">
        <f>VLOOKUP($B313, '[1]HURDAT Query'!$A$1:$F$1030, 4, 0)</f>
        <v>3</v>
      </c>
      <c r="E313" s="3">
        <f>VLOOKUP($B313, '[1]HURDAT Query'!$A$1:$F$1030, 5, 0)</f>
        <v>110</v>
      </c>
      <c r="F313" s="3">
        <f>VLOOKUP($B313, '[1]HURDAT Query'!$A$1:$F$1030, 6, 0)</f>
        <v>946</v>
      </c>
      <c r="G313" s="3" t="str">
        <f>_xlfn.IFNA(VLOOKUP(B313, '[1]Landfall Stats'!A:G, 7, 0), "No LF")</f>
        <v>No LF</v>
      </c>
      <c r="H313" s="3" t="str">
        <f>_xlfn.IFNA(VLOOKUP(B313, '[1]Landfall Stats'!A:G, 5, 0), "No LF")</f>
        <v>No LF</v>
      </c>
      <c r="I313" s="3" t="str">
        <f>_xlfn.IFNA(VLOOKUP(B313, '[1]Landfall Stats'!A:G, 6, 0), "No LF")</f>
        <v>No LF</v>
      </c>
      <c r="J313" s="4" t="s">
        <v>447</v>
      </c>
      <c r="K313" s="3">
        <v>0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2.75" customHeight="1" x14ac:dyDescent="0.2">
      <c r="A314" s="3">
        <v>1997</v>
      </c>
      <c r="B314" s="3" t="s">
        <v>448</v>
      </c>
      <c r="C314" s="3" t="str">
        <f>VLOOKUP($B314, '[1]HURDAT Query'!$A$1:$F$1030, 3, 0)</f>
        <v>FABIAN</v>
      </c>
      <c r="D314" s="3" t="str">
        <f>VLOOKUP($B314, '[1]HURDAT Query'!$A$1:$F$1030, 4, 0)</f>
        <v>NA</v>
      </c>
      <c r="E314" s="3" t="str">
        <f>VLOOKUP($B314, '[1]HURDAT Query'!$A$1:$F$1030, 5, 0)</f>
        <v>NA</v>
      </c>
      <c r="F314" s="3" t="str">
        <f>VLOOKUP($B314, '[1]HURDAT Query'!$A$1:$F$1030, 6, 0)</f>
        <v>NA</v>
      </c>
      <c r="G314" s="3" t="str">
        <f>_xlfn.IFNA(VLOOKUP(B314, '[1]Landfall Stats'!A:G, 7, 0), "No LF")</f>
        <v>No LF</v>
      </c>
      <c r="H314" s="3" t="str">
        <f>_xlfn.IFNA(VLOOKUP(B314, '[1]Landfall Stats'!A:G, 5, 0), "No LF")</f>
        <v>No LF</v>
      </c>
      <c r="I314" s="3" t="str">
        <f>_xlfn.IFNA(VLOOKUP(B314, '[1]Landfall Stats'!A:G, 6, 0), "No LF")</f>
        <v>No LF</v>
      </c>
      <c r="J314" s="4" t="s">
        <v>449</v>
      </c>
      <c r="K314" s="3">
        <v>0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2.75" customHeight="1" x14ac:dyDescent="0.2">
      <c r="A315" s="3">
        <v>1997</v>
      </c>
      <c r="B315" s="3" t="s">
        <v>450</v>
      </c>
      <c r="C315" s="3" t="str">
        <f>VLOOKUP($B315, '[1]HURDAT Query'!$A$1:$F$1030, 3, 0)</f>
        <v>GRACE</v>
      </c>
      <c r="D315" s="3" t="str">
        <f>VLOOKUP($B315, '[1]HURDAT Query'!$A$1:$F$1030, 4, 0)</f>
        <v>NA</v>
      </c>
      <c r="E315" s="3" t="str">
        <f>VLOOKUP($B315, '[1]HURDAT Query'!$A$1:$F$1030, 5, 0)</f>
        <v>NA</v>
      </c>
      <c r="F315" s="3" t="str">
        <f>VLOOKUP($B315, '[1]HURDAT Query'!$A$1:$F$1030, 6, 0)</f>
        <v>NA</v>
      </c>
      <c r="G315" s="3" t="str">
        <f>_xlfn.IFNA(VLOOKUP(B315, '[1]Landfall Stats'!A:G, 7, 0), "No LF")</f>
        <v>No LF</v>
      </c>
      <c r="H315" s="3" t="str">
        <f>_xlfn.IFNA(VLOOKUP(B315, '[1]Landfall Stats'!A:G, 5, 0), "No LF")</f>
        <v>No LF</v>
      </c>
      <c r="I315" s="3" t="str">
        <f>_xlfn.IFNA(VLOOKUP(B315, '[1]Landfall Stats'!A:G, 6, 0), "No LF")</f>
        <v>No LF</v>
      </c>
      <c r="J315" s="4" t="s">
        <v>451</v>
      </c>
      <c r="K315" s="3">
        <v>0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2.75" customHeight="1" x14ac:dyDescent="0.2">
      <c r="A316" s="3">
        <v>1998</v>
      </c>
      <c r="B316" s="3" t="s">
        <v>452</v>
      </c>
      <c r="C316" s="3" t="str">
        <f>VLOOKUP($B316, '[1]HURDAT Query'!$A$1:$F$1030, 3, 0)</f>
        <v>ALEX</v>
      </c>
      <c r="D316" s="3" t="str">
        <f>VLOOKUP($B316, '[1]HURDAT Query'!$A$1:$F$1030, 4, 0)</f>
        <v>NA</v>
      </c>
      <c r="E316" s="3" t="str">
        <f>VLOOKUP($B316, '[1]HURDAT Query'!$A$1:$F$1030, 5, 0)</f>
        <v>NA</v>
      </c>
      <c r="F316" s="3" t="str">
        <f>VLOOKUP($B316, '[1]HURDAT Query'!$A$1:$F$1030, 6, 0)</f>
        <v>NA</v>
      </c>
      <c r="G316" s="3" t="str">
        <f>_xlfn.IFNA(VLOOKUP(B316, '[1]Landfall Stats'!A:G, 7, 0), "No LF")</f>
        <v>No LF</v>
      </c>
      <c r="H316" s="3" t="str">
        <f>_xlfn.IFNA(VLOOKUP(B316, '[1]Landfall Stats'!A:G, 5, 0), "No LF")</f>
        <v>No LF</v>
      </c>
      <c r="I316" s="3" t="str">
        <f>_xlfn.IFNA(VLOOKUP(B316, '[1]Landfall Stats'!A:G, 6, 0), "No LF")</f>
        <v>No LF</v>
      </c>
      <c r="J316" s="4" t="s">
        <v>453</v>
      </c>
      <c r="K316" s="3">
        <v>0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12.75" customHeight="1" x14ac:dyDescent="0.2">
      <c r="A317" s="3">
        <v>1998</v>
      </c>
      <c r="B317" s="3" t="s">
        <v>454</v>
      </c>
      <c r="C317" s="3" t="str">
        <f>VLOOKUP($B317, '[1]HURDAT Query'!$A$1:$F$1030, 3, 0)</f>
        <v>BONNIE</v>
      </c>
      <c r="D317" s="3">
        <f>VLOOKUP($B317, '[1]HURDAT Query'!$A$1:$F$1030, 4, 0)</f>
        <v>3</v>
      </c>
      <c r="E317" s="3">
        <f>VLOOKUP($B317, '[1]HURDAT Query'!$A$1:$F$1030, 5, 0)</f>
        <v>100</v>
      </c>
      <c r="F317" s="3">
        <f>VLOOKUP($B317, '[1]HURDAT Query'!$A$1:$F$1030, 6, 0)</f>
        <v>954</v>
      </c>
      <c r="G317" s="3">
        <f>_xlfn.IFNA(VLOOKUP(B317, '[1]Landfall Stats'!A:G, 7, 0), "No LF")</f>
        <v>2</v>
      </c>
      <c r="H317" s="3">
        <f>_xlfn.IFNA(VLOOKUP(B317, '[1]Landfall Stats'!A:G, 5, 0), "No LF")</f>
        <v>95</v>
      </c>
      <c r="I317" s="3">
        <f>_xlfn.IFNA(VLOOKUP(B317, '[1]Landfall Stats'!A:G, 6, 0), "No LF")</f>
        <v>964</v>
      </c>
      <c r="J317" s="4" t="s">
        <v>455</v>
      </c>
      <c r="K317" s="3">
        <v>2</v>
      </c>
      <c r="L317" s="3"/>
      <c r="M317" s="3"/>
      <c r="N317" s="3"/>
      <c r="O317" s="3"/>
      <c r="P317" s="3"/>
      <c r="Q317" s="3"/>
      <c r="R317" s="3">
        <v>1</v>
      </c>
      <c r="S317" s="3" t="s">
        <v>456</v>
      </c>
      <c r="T317" s="3"/>
      <c r="U317" s="3"/>
      <c r="V317" s="3"/>
      <c r="W317" s="3"/>
      <c r="X317" s="3">
        <v>1</v>
      </c>
      <c r="Y317" s="3" t="s">
        <v>290</v>
      </c>
      <c r="Z317" s="3"/>
      <c r="AA317" s="3"/>
      <c r="AB317" s="3"/>
      <c r="AC317" s="3"/>
      <c r="AD317" s="3"/>
      <c r="AE317" s="3"/>
    </row>
    <row r="318" spans="1:31" ht="12.75" customHeight="1" x14ac:dyDescent="0.2">
      <c r="A318" s="3">
        <v>1998</v>
      </c>
      <c r="B318" s="3" t="s">
        <v>457</v>
      </c>
      <c r="C318" s="3" t="str">
        <f>VLOOKUP($B318, '[1]HURDAT Query'!$A$1:$F$1030, 3, 0)</f>
        <v>CHARLEY</v>
      </c>
      <c r="D318" s="3" t="str">
        <f>VLOOKUP($B318, '[1]HURDAT Query'!$A$1:$F$1030, 4, 0)</f>
        <v>NA</v>
      </c>
      <c r="E318" s="3" t="str">
        <f>VLOOKUP($B318, '[1]HURDAT Query'!$A$1:$F$1030, 5, 0)</f>
        <v>NA</v>
      </c>
      <c r="F318" s="3" t="str">
        <f>VLOOKUP($B318, '[1]HURDAT Query'!$A$1:$F$1030, 6, 0)</f>
        <v>NA</v>
      </c>
      <c r="G318" s="3" t="str">
        <f>_xlfn.IFNA(VLOOKUP(B318, '[1]Landfall Stats'!A:G, 7, 0), "No LF")</f>
        <v>No LF</v>
      </c>
      <c r="H318" s="3" t="str">
        <f>_xlfn.IFNA(VLOOKUP(B318, '[1]Landfall Stats'!A:G, 5, 0), "No LF")</f>
        <v>No LF</v>
      </c>
      <c r="I318" s="3" t="str">
        <f>_xlfn.IFNA(VLOOKUP(B318, '[1]Landfall Stats'!A:G, 6, 0), "No LF")</f>
        <v>No LF</v>
      </c>
      <c r="J318" s="4" t="s">
        <v>458</v>
      </c>
      <c r="K318" s="3">
        <v>13</v>
      </c>
      <c r="L318" s="3"/>
      <c r="M318" s="3"/>
      <c r="N318" s="3"/>
      <c r="O318" s="3"/>
      <c r="P318" s="3"/>
      <c r="Q318" s="3"/>
      <c r="R318" s="3"/>
      <c r="S318" s="3"/>
      <c r="T318" s="3">
        <v>7</v>
      </c>
      <c r="U318" s="3" t="s">
        <v>38</v>
      </c>
      <c r="V318" s="3"/>
      <c r="W318" s="3"/>
      <c r="X318" s="3"/>
      <c r="Y318" s="3"/>
      <c r="Z318" s="3"/>
      <c r="AA318" s="3"/>
      <c r="AB318" s="3"/>
      <c r="AC318" s="3"/>
      <c r="AD318" s="3">
        <v>6</v>
      </c>
      <c r="AE318" s="3" t="s">
        <v>38</v>
      </c>
    </row>
    <row r="319" spans="1:31" ht="12.75" customHeight="1" x14ac:dyDescent="0.2">
      <c r="A319" s="3">
        <v>1998</v>
      </c>
      <c r="B319" s="3" t="s">
        <v>459</v>
      </c>
      <c r="C319" s="3" t="str">
        <f>VLOOKUP($B319, '[1]HURDAT Query'!$A$1:$F$1030, 3, 0)</f>
        <v>DANIELLE</v>
      </c>
      <c r="D319" s="3">
        <f>VLOOKUP($B319, '[1]HURDAT Query'!$A$1:$F$1030, 4, 0)</f>
        <v>2</v>
      </c>
      <c r="E319" s="3">
        <f>VLOOKUP($B319, '[1]HURDAT Query'!$A$1:$F$1030, 5, 0)</f>
        <v>90</v>
      </c>
      <c r="F319" s="3">
        <f>VLOOKUP($B319, '[1]HURDAT Query'!$A$1:$F$1030, 6, 0)</f>
        <v>960</v>
      </c>
      <c r="G319" s="3" t="str">
        <f>_xlfn.IFNA(VLOOKUP(B319, '[1]Landfall Stats'!A:G, 7, 0), "No LF")</f>
        <v>No LF</v>
      </c>
      <c r="H319" s="3" t="str">
        <f>_xlfn.IFNA(VLOOKUP(B319, '[1]Landfall Stats'!A:G, 5, 0), "No LF")</f>
        <v>No LF</v>
      </c>
      <c r="I319" s="3" t="str">
        <f>_xlfn.IFNA(VLOOKUP(B319, '[1]Landfall Stats'!A:G, 6, 0), "No LF")</f>
        <v>No LF</v>
      </c>
      <c r="J319" s="4" t="s">
        <v>460</v>
      </c>
      <c r="K319" s="3">
        <v>0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2.75" customHeight="1" x14ac:dyDescent="0.2">
      <c r="A320" s="3">
        <v>1998</v>
      </c>
      <c r="B320" s="3" t="s">
        <v>461</v>
      </c>
      <c r="C320" s="3" t="str">
        <f>VLOOKUP($B320, '[1]HURDAT Query'!$A$1:$F$1030, 3, 0)</f>
        <v>EARL</v>
      </c>
      <c r="D320" s="3">
        <f>VLOOKUP($B320, '[1]HURDAT Query'!$A$1:$F$1030, 4, 0)</f>
        <v>2</v>
      </c>
      <c r="E320" s="3">
        <f>VLOOKUP($B320, '[1]HURDAT Query'!$A$1:$F$1030, 5, 0)</f>
        <v>85</v>
      </c>
      <c r="F320" s="3">
        <f>VLOOKUP($B320, '[1]HURDAT Query'!$A$1:$F$1030, 6, 0)</f>
        <v>985</v>
      </c>
      <c r="G320" s="3">
        <f>_xlfn.IFNA(VLOOKUP(B320, '[1]Landfall Stats'!A:G, 7, 0), "No LF")</f>
        <v>1</v>
      </c>
      <c r="H320" s="3">
        <f>_xlfn.IFNA(VLOOKUP(B320, '[1]Landfall Stats'!A:G, 5, 0), "No LF")</f>
        <v>70</v>
      </c>
      <c r="I320" s="3">
        <f>_xlfn.IFNA(VLOOKUP(B320, '[1]Landfall Stats'!A:G, 6, 0), "No LF")</f>
        <v>987</v>
      </c>
      <c r="J320" s="4" t="s">
        <v>462</v>
      </c>
      <c r="K320" s="3">
        <v>3</v>
      </c>
      <c r="L320" s="3"/>
      <c r="M320" s="3"/>
      <c r="N320" s="3"/>
      <c r="O320" s="3"/>
      <c r="P320" s="3">
        <v>2</v>
      </c>
      <c r="Q320" s="3" t="s">
        <v>51</v>
      </c>
      <c r="R320" s="3"/>
      <c r="S320" s="3"/>
      <c r="T320" s="3"/>
      <c r="U320" s="3"/>
      <c r="V320" s="3"/>
      <c r="W320" s="3"/>
      <c r="X320" s="3"/>
      <c r="Y320" s="3"/>
      <c r="Z320" s="3">
        <v>1</v>
      </c>
      <c r="AA320" s="3" t="s">
        <v>310</v>
      </c>
      <c r="AB320" s="3"/>
      <c r="AC320" s="3"/>
      <c r="AD320" s="3"/>
      <c r="AE320" s="3"/>
    </row>
    <row r="321" spans="1:31" ht="12.75" customHeight="1" x14ac:dyDescent="0.2">
      <c r="A321" s="3">
        <v>1998</v>
      </c>
      <c r="B321" s="3" t="s">
        <v>463</v>
      </c>
      <c r="C321" s="3" t="str">
        <f>VLOOKUP($B321, '[1]HURDAT Query'!$A$1:$F$1030, 3, 0)</f>
        <v>FRANCES</v>
      </c>
      <c r="D321" s="3" t="str">
        <f>VLOOKUP($B321, '[1]HURDAT Query'!$A$1:$F$1030, 4, 0)</f>
        <v>NA</v>
      </c>
      <c r="E321" s="3" t="str">
        <f>VLOOKUP($B321, '[1]HURDAT Query'!$A$1:$F$1030, 5, 0)</f>
        <v>NA</v>
      </c>
      <c r="F321" s="3" t="str">
        <f>VLOOKUP($B321, '[1]HURDAT Query'!$A$1:$F$1030, 6, 0)</f>
        <v>NA</v>
      </c>
      <c r="G321" s="3" t="str">
        <f>_xlfn.IFNA(VLOOKUP(B321, '[1]Landfall Stats'!A:G, 7, 0), "No LF")</f>
        <v>NA</v>
      </c>
      <c r="H321" s="3">
        <f>_xlfn.IFNA(VLOOKUP(B321, '[1]Landfall Stats'!A:G, 5, 0), "No LF")</f>
        <v>45</v>
      </c>
      <c r="I321" s="3">
        <f>_xlfn.IFNA(VLOOKUP(B321, '[1]Landfall Stats'!A:G, 6, 0), "No LF")</f>
        <v>990</v>
      </c>
      <c r="J321" s="4" t="s">
        <v>464</v>
      </c>
      <c r="K321" s="3">
        <v>1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>
        <v>1</v>
      </c>
      <c r="AA321" s="3" t="s">
        <v>37</v>
      </c>
      <c r="AB321" s="3"/>
      <c r="AC321" s="3"/>
      <c r="AD321" s="3"/>
      <c r="AE321" s="3"/>
    </row>
    <row r="322" spans="1:31" ht="12.75" customHeight="1" x14ac:dyDescent="0.2">
      <c r="A322" s="3">
        <v>1998</v>
      </c>
      <c r="B322" s="3" t="s">
        <v>465</v>
      </c>
      <c r="C322" s="3" t="str">
        <f>VLOOKUP($B322, '[1]HURDAT Query'!$A$1:$F$1030, 3, 0)</f>
        <v>GEORGES</v>
      </c>
      <c r="D322" s="3">
        <f>VLOOKUP($B322, '[1]HURDAT Query'!$A$1:$F$1030, 4, 0)</f>
        <v>4</v>
      </c>
      <c r="E322" s="3">
        <f>VLOOKUP($B322, '[1]HURDAT Query'!$A$1:$F$1030, 5, 0)</f>
        <v>135</v>
      </c>
      <c r="F322" s="3">
        <f>VLOOKUP($B322, '[1]HURDAT Query'!$A$1:$F$1030, 6, 0)</f>
        <v>937</v>
      </c>
      <c r="G322" s="3">
        <f>_xlfn.IFNA(VLOOKUP(B322, '[1]Landfall Stats'!A:G, 7, 0), "No LF")</f>
        <v>2</v>
      </c>
      <c r="H322" s="3">
        <f>_xlfn.IFNA(VLOOKUP(B322, '[1]Landfall Stats'!A:G, 5, 0), "No LF")</f>
        <v>90</v>
      </c>
      <c r="I322" s="3">
        <f>_xlfn.IFNA(VLOOKUP(B322, '[1]Landfall Stats'!A:G, 6, 0), "No LF")</f>
        <v>964</v>
      </c>
      <c r="J322" s="4" t="s">
        <v>466</v>
      </c>
      <c r="K322" s="3">
        <v>1</v>
      </c>
      <c r="L322" s="3"/>
      <c r="M322" s="3"/>
      <c r="N322" s="3"/>
      <c r="O322" s="3"/>
      <c r="P322" s="3"/>
      <c r="Q322" s="3"/>
      <c r="R322" s="3"/>
      <c r="S322" s="3"/>
      <c r="T322" s="3">
        <v>1</v>
      </c>
      <c r="U322" s="3" t="s">
        <v>308</v>
      </c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2.75" customHeight="1" x14ac:dyDescent="0.2">
      <c r="A323" s="3">
        <v>1998</v>
      </c>
      <c r="B323" s="3" t="s">
        <v>467</v>
      </c>
      <c r="C323" s="3" t="str">
        <f>VLOOKUP($B323, '[1]HURDAT Query'!$A$1:$F$1030, 3, 0)</f>
        <v>HERMINE</v>
      </c>
      <c r="D323" s="3" t="str">
        <f>VLOOKUP($B323, '[1]HURDAT Query'!$A$1:$F$1030, 4, 0)</f>
        <v>NA</v>
      </c>
      <c r="E323" s="3" t="str">
        <f>VLOOKUP($B323, '[1]HURDAT Query'!$A$1:$F$1030, 5, 0)</f>
        <v>NA</v>
      </c>
      <c r="F323" s="3" t="str">
        <f>VLOOKUP($B323, '[1]HURDAT Query'!$A$1:$F$1030, 6, 0)</f>
        <v>NA</v>
      </c>
      <c r="G323" s="3" t="str">
        <f>_xlfn.IFNA(VLOOKUP(B323, '[1]Landfall Stats'!A:G, 7, 0), "No LF")</f>
        <v>No LF</v>
      </c>
      <c r="H323" s="3" t="str">
        <f>_xlfn.IFNA(VLOOKUP(B323, '[1]Landfall Stats'!A:G, 5, 0), "No LF")</f>
        <v>No LF</v>
      </c>
      <c r="I323" s="3" t="str">
        <f>_xlfn.IFNA(VLOOKUP(B323, '[1]Landfall Stats'!A:G, 6, 0), "No LF")</f>
        <v>No LF</v>
      </c>
      <c r="J323" s="4" t="s">
        <v>468</v>
      </c>
      <c r="K323" s="3">
        <v>0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2.75" customHeight="1" x14ac:dyDescent="0.2">
      <c r="A324" s="3">
        <v>1998</v>
      </c>
      <c r="B324" s="3" t="s">
        <v>469</v>
      </c>
      <c r="C324" s="3" t="str">
        <f>VLOOKUP($B324, '[1]HURDAT Query'!$A$1:$F$1030, 3, 0)</f>
        <v>IVAN</v>
      </c>
      <c r="D324" s="3">
        <f>VLOOKUP($B324, '[1]HURDAT Query'!$A$1:$F$1030, 4, 0)</f>
        <v>1</v>
      </c>
      <c r="E324" s="3">
        <f>VLOOKUP($B324, '[1]HURDAT Query'!$A$1:$F$1030, 5, 0)</f>
        <v>80</v>
      </c>
      <c r="F324" s="3">
        <f>VLOOKUP($B324, '[1]HURDAT Query'!$A$1:$F$1030, 6, 0)</f>
        <v>975</v>
      </c>
      <c r="G324" s="3" t="str">
        <f>_xlfn.IFNA(VLOOKUP(B324, '[1]Landfall Stats'!A:G, 7, 0), "No LF")</f>
        <v>No LF</v>
      </c>
      <c r="H324" s="3" t="str">
        <f>_xlfn.IFNA(VLOOKUP(B324, '[1]Landfall Stats'!A:G, 5, 0), "No LF")</f>
        <v>No LF</v>
      </c>
      <c r="I324" s="3" t="str">
        <f>_xlfn.IFNA(VLOOKUP(B324, '[1]Landfall Stats'!A:G, 6, 0), "No LF")</f>
        <v>No LF</v>
      </c>
      <c r="J324" s="4" t="s">
        <v>470</v>
      </c>
      <c r="K324" s="3">
        <v>0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2.75" customHeight="1" x14ac:dyDescent="0.2">
      <c r="A325" s="3">
        <v>1998</v>
      </c>
      <c r="B325" s="3" t="s">
        <v>471</v>
      </c>
      <c r="C325" s="3" t="str">
        <f>VLOOKUP($B325, '[1]HURDAT Query'!$A$1:$F$1030, 3, 0)</f>
        <v>JEANNE</v>
      </c>
      <c r="D325" s="3">
        <f>VLOOKUP($B325, '[1]HURDAT Query'!$A$1:$F$1030, 4, 0)</f>
        <v>2</v>
      </c>
      <c r="E325" s="3">
        <f>VLOOKUP($B325, '[1]HURDAT Query'!$A$1:$F$1030, 5, 0)</f>
        <v>90</v>
      </c>
      <c r="F325" s="3">
        <f>VLOOKUP($B325, '[1]HURDAT Query'!$A$1:$F$1030, 6, 0)</f>
        <v>969</v>
      </c>
      <c r="G325" s="3" t="str">
        <f>_xlfn.IFNA(VLOOKUP(B325, '[1]Landfall Stats'!A:G, 7, 0), "No LF")</f>
        <v>No LF</v>
      </c>
      <c r="H325" s="3" t="str">
        <f>_xlfn.IFNA(VLOOKUP(B325, '[1]Landfall Stats'!A:G, 5, 0), "No LF")</f>
        <v>No LF</v>
      </c>
      <c r="I325" s="3" t="str">
        <f>_xlfn.IFNA(VLOOKUP(B325, '[1]Landfall Stats'!A:G, 6, 0), "No LF")</f>
        <v>No LF</v>
      </c>
      <c r="J325" s="4" t="s">
        <v>472</v>
      </c>
      <c r="K325" s="3">
        <v>0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2.75" customHeight="1" x14ac:dyDescent="0.2">
      <c r="A326" s="3">
        <v>1998</v>
      </c>
      <c r="B326" s="3" t="s">
        <v>473</v>
      </c>
      <c r="C326" s="3" t="str">
        <f>VLOOKUP($B326, '[1]HURDAT Query'!$A$1:$F$1030, 3, 0)</f>
        <v>KARL</v>
      </c>
      <c r="D326" s="3">
        <f>VLOOKUP($B326, '[1]HURDAT Query'!$A$1:$F$1030, 4, 0)</f>
        <v>2</v>
      </c>
      <c r="E326" s="3">
        <f>VLOOKUP($B326, '[1]HURDAT Query'!$A$1:$F$1030, 5, 0)</f>
        <v>90</v>
      </c>
      <c r="F326" s="3">
        <f>VLOOKUP($B326, '[1]HURDAT Query'!$A$1:$F$1030, 6, 0)</f>
        <v>970</v>
      </c>
      <c r="G326" s="3" t="str">
        <f>_xlfn.IFNA(VLOOKUP(B326, '[1]Landfall Stats'!A:G, 7, 0), "No LF")</f>
        <v>No LF</v>
      </c>
      <c r="H326" s="3" t="str">
        <f>_xlfn.IFNA(VLOOKUP(B326, '[1]Landfall Stats'!A:G, 5, 0), "No LF")</f>
        <v>No LF</v>
      </c>
      <c r="I326" s="3" t="str">
        <f>_xlfn.IFNA(VLOOKUP(B326, '[1]Landfall Stats'!A:G, 6, 0), "No LF")</f>
        <v>No LF</v>
      </c>
      <c r="J326" s="4" t="s">
        <v>474</v>
      </c>
      <c r="K326" s="3">
        <v>0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2.75" customHeight="1" x14ac:dyDescent="0.2">
      <c r="A327" s="3">
        <v>1998</v>
      </c>
      <c r="B327" s="3" t="s">
        <v>475</v>
      </c>
      <c r="C327" s="3" t="str">
        <f>VLOOKUP($B327, '[1]HURDAT Query'!$A$1:$F$1030, 3, 0)</f>
        <v>LISA</v>
      </c>
      <c r="D327" s="3">
        <f>VLOOKUP($B327, '[1]HURDAT Query'!$A$1:$F$1030, 4, 0)</f>
        <v>1</v>
      </c>
      <c r="E327" s="3">
        <f>VLOOKUP($B327, '[1]HURDAT Query'!$A$1:$F$1030, 5, 0)</f>
        <v>65</v>
      </c>
      <c r="F327" s="3">
        <f>VLOOKUP($B327, '[1]HURDAT Query'!$A$1:$F$1030, 6, 0)</f>
        <v>995</v>
      </c>
      <c r="G327" s="3" t="str">
        <f>_xlfn.IFNA(VLOOKUP(B327, '[1]Landfall Stats'!A:G, 7, 0), "No LF")</f>
        <v>No LF</v>
      </c>
      <c r="H327" s="3" t="str">
        <f>_xlfn.IFNA(VLOOKUP(B327, '[1]Landfall Stats'!A:G, 5, 0), "No LF")</f>
        <v>No LF</v>
      </c>
      <c r="I327" s="3" t="str">
        <f>_xlfn.IFNA(VLOOKUP(B327, '[1]Landfall Stats'!A:G, 6, 0), "No LF")</f>
        <v>No LF</v>
      </c>
      <c r="J327" s="4" t="s">
        <v>476</v>
      </c>
      <c r="K327" s="3">
        <v>0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12.75" customHeight="1" x14ac:dyDescent="0.2">
      <c r="A328" s="3">
        <v>1998</v>
      </c>
      <c r="B328" s="3" t="s">
        <v>477</v>
      </c>
      <c r="C328" s="3" t="str">
        <f>VLOOKUP($B328, '[1]HURDAT Query'!$A$1:$F$1030, 3, 0)</f>
        <v>MITCH</v>
      </c>
      <c r="D328" s="3">
        <f>VLOOKUP($B328, '[1]HURDAT Query'!$A$1:$F$1030, 4, 0)</f>
        <v>5</v>
      </c>
      <c r="E328" s="3">
        <f>VLOOKUP($B328, '[1]HURDAT Query'!$A$1:$F$1030, 5, 0)</f>
        <v>155</v>
      </c>
      <c r="F328" s="3">
        <f>VLOOKUP($B328, '[1]HURDAT Query'!$A$1:$F$1030, 6, 0)</f>
        <v>905</v>
      </c>
      <c r="G328" s="3" t="str">
        <f>_xlfn.IFNA(VLOOKUP(B328, '[1]Landfall Stats'!A:G, 7, 0), "No LF")</f>
        <v>NA</v>
      </c>
      <c r="H328" s="3">
        <f>_xlfn.IFNA(VLOOKUP(B328, '[1]Landfall Stats'!A:G, 5, 0), "No LF")</f>
        <v>55</v>
      </c>
      <c r="I328" s="3">
        <f>_xlfn.IFNA(VLOOKUP(B328, '[1]Landfall Stats'!A:G, 6, 0), "No LF")</f>
        <v>989</v>
      </c>
      <c r="J328" s="4" t="s">
        <v>478</v>
      </c>
      <c r="K328" s="3">
        <v>2</v>
      </c>
      <c r="L328" s="3"/>
      <c r="M328" s="3"/>
      <c r="N328" s="3"/>
      <c r="O328" s="3"/>
      <c r="P328" s="3">
        <v>2</v>
      </c>
      <c r="Q328" s="3" t="s">
        <v>51</v>
      </c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2.75" customHeight="1" x14ac:dyDescent="0.2">
      <c r="A329" s="3">
        <v>1998</v>
      </c>
      <c r="B329" s="3" t="s">
        <v>479</v>
      </c>
      <c r="C329" s="3" t="str">
        <f>VLOOKUP($B329, '[1]HURDAT Query'!$A$1:$F$1030, 3, 0)</f>
        <v>NICOLE</v>
      </c>
      <c r="D329" s="3">
        <f>VLOOKUP($B329, '[1]HURDAT Query'!$A$1:$F$1030, 4, 0)</f>
        <v>1</v>
      </c>
      <c r="E329" s="3">
        <f>VLOOKUP($B329, '[1]HURDAT Query'!$A$1:$F$1030, 5, 0)</f>
        <v>75</v>
      </c>
      <c r="F329" s="3">
        <f>VLOOKUP($B329, '[1]HURDAT Query'!$A$1:$F$1030, 6, 0)</f>
        <v>979</v>
      </c>
      <c r="G329" s="3" t="str">
        <f>_xlfn.IFNA(VLOOKUP(B329, '[1]Landfall Stats'!A:G, 7, 0), "No LF")</f>
        <v>No LF</v>
      </c>
      <c r="H329" s="3" t="str">
        <f>_xlfn.IFNA(VLOOKUP(B329, '[1]Landfall Stats'!A:G, 5, 0), "No LF")</f>
        <v>No LF</v>
      </c>
      <c r="I329" s="3" t="str">
        <f>_xlfn.IFNA(VLOOKUP(B329, '[1]Landfall Stats'!A:G, 6, 0), "No LF")</f>
        <v>No LF</v>
      </c>
      <c r="J329" s="4" t="s">
        <v>480</v>
      </c>
      <c r="K329" s="3">
        <v>0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2.75" customHeight="1" x14ac:dyDescent="0.2">
      <c r="A330" s="3">
        <v>1999</v>
      </c>
      <c r="B330" s="3" t="s">
        <v>481</v>
      </c>
      <c r="C330" s="3" t="str">
        <f>VLOOKUP($B330, '[1]HURDAT Query'!$A$1:$F$1030, 3, 0)</f>
        <v>ARLENE</v>
      </c>
      <c r="D330" s="3" t="str">
        <f>VLOOKUP($B330, '[1]HURDAT Query'!$A$1:$F$1030, 4, 0)</f>
        <v>NA</v>
      </c>
      <c r="E330" s="3" t="str">
        <f>VLOOKUP($B330, '[1]HURDAT Query'!$A$1:$F$1030, 5, 0)</f>
        <v>NA</v>
      </c>
      <c r="F330" s="3" t="str">
        <f>VLOOKUP($B330, '[1]HURDAT Query'!$A$1:$F$1030, 6, 0)</f>
        <v>NA</v>
      </c>
      <c r="G330" s="3" t="str">
        <f>_xlfn.IFNA(VLOOKUP(B330, '[1]Landfall Stats'!A:G, 7, 0), "No LF")</f>
        <v>No LF</v>
      </c>
      <c r="H330" s="3" t="str">
        <f>_xlfn.IFNA(VLOOKUP(B330, '[1]Landfall Stats'!A:G, 5, 0), "No LF")</f>
        <v>No LF</v>
      </c>
      <c r="I330" s="3" t="str">
        <f>_xlfn.IFNA(VLOOKUP(B330, '[1]Landfall Stats'!A:G, 6, 0), "No LF")</f>
        <v>No LF</v>
      </c>
      <c r="J330" s="4" t="s">
        <v>482</v>
      </c>
      <c r="K330" s="3">
        <v>0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2.75" customHeight="1" x14ac:dyDescent="0.2">
      <c r="A331" s="3">
        <v>1999</v>
      </c>
      <c r="B331" s="3" t="s">
        <v>483</v>
      </c>
      <c r="C331" s="3" t="str">
        <f>VLOOKUP($B331, '[1]HURDAT Query'!$A$1:$F$1030, 3, 0)</f>
        <v>BRET</v>
      </c>
      <c r="D331" s="3">
        <f>VLOOKUP($B331, '[1]HURDAT Query'!$A$1:$F$1030, 4, 0)</f>
        <v>4</v>
      </c>
      <c r="E331" s="3">
        <f>VLOOKUP($B331, '[1]HURDAT Query'!$A$1:$F$1030, 5, 0)</f>
        <v>125</v>
      </c>
      <c r="F331" s="3">
        <f>VLOOKUP($B331, '[1]HURDAT Query'!$A$1:$F$1030, 6, 0)</f>
        <v>944</v>
      </c>
      <c r="G331" s="3">
        <f>_xlfn.IFNA(VLOOKUP(B331, '[1]Landfall Stats'!A:G, 7, 0), "No LF")</f>
        <v>3</v>
      </c>
      <c r="H331" s="3">
        <f>_xlfn.IFNA(VLOOKUP(B331, '[1]Landfall Stats'!A:G, 5, 0), "No LF")</f>
        <v>100</v>
      </c>
      <c r="I331" s="3">
        <f>_xlfn.IFNA(VLOOKUP(B331, '[1]Landfall Stats'!A:G, 6, 0), "No LF")</f>
        <v>951</v>
      </c>
      <c r="J331" s="4" t="s">
        <v>484</v>
      </c>
      <c r="K331" s="3">
        <v>0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2.75" customHeight="1" x14ac:dyDescent="0.2">
      <c r="A332" s="3">
        <v>1999</v>
      </c>
      <c r="B332" s="3" t="s">
        <v>485</v>
      </c>
      <c r="C332" s="3" t="str">
        <f>VLOOKUP($B332, '[1]HURDAT Query'!$A$1:$F$1030, 3, 0)</f>
        <v>CINDY</v>
      </c>
      <c r="D332" s="3">
        <f>VLOOKUP($B332, '[1]HURDAT Query'!$A$1:$F$1030, 4, 0)</f>
        <v>4</v>
      </c>
      <c r="E332" s="3">
        <f>VLOOKUP($B332, '[1]HURDAT Query'!$A$1:$F$1030, 5, 0)</f>
        <v>120</v>
      </c>
      <c r="F332" s="3">
        <f>VLOOKUP($B332, '[1]HURDAT Query'!$A$1:$F$1030, 6, 0)</f>
        <v>942</v>
      </c>
      <c r="G332" s="3" t="str">
        <f>_xlfn.IFNA(VLOOKUP(B332, '[1]Landfall Stats'!A:G, 7, 0), "No LF")</f>
        <v>No LF</v>
      </c>
      <c r="H332" s="3" t="str">
        <f>_xlfn.IFNA(VLOOKUP(B332, '[1]Landfall Stats'!A:G, 5, 0), "No LF")</f>
        <v>No LF</v>
      </c>
      <c r="I332" s="3" t="str">
        <f>_xlfn.IFNA(VLOOKUP(B332, '[1]Landfall Stats'!A:G, 6, 0), "No LF")</f>
        <v>No LF</v>
      </c>
      <c r="J332" s="4" t="s">
        <v>486</v>
      </c>
      <c r="K332" s="3">
        <v>0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2.75" customHeight="1" x14ac:dyDescent="0.2">
      <c r="A333" s="3">
        <v>1999</v>
      </c>
      <c r="B333" s="3" t="s">
        <v>487</v>
      </c>
      <c r="C333" s="3" t="str">
        <f>VLOOKUP($B333, '[1]HURDAT Query'!$A$1:$F$1030, 3, 0)</f>
        <v>DENNIS</v>
      </c>
      <c r="D333" s="3">
        <f>VLOOKUP($B333, '[1]HURDAT Query'!$A$1:$F$1030, 4, 0)</f>
        <v>2</v>
      </c>
      <c r="E333" s="3">
        <f>VLOOKUP($B333, '[1]HURDAT Query'!$A$1:$F$1030, 5, 0)</f>
        <v>90</v>
      </c>
      <c r="F333" s="3">
        <f>VLOOKUP($B333, '[1]HURDAT Query'!$A$1:$F$1030, 6, 0)</f>
        <v>962</v>
      </c>
      <c r="G333" s="3" t="str">
        <f>_xlfn.IFNA(VLOOKUP(B333, '[1]Landfall Stats'!A:G, 7, 0), "No LF")</f>
        <v>NA</v>
      </c>
      <c r="H333" s="3">
        <f>_xlfn.IFNA(VLOOKUP(B333, '[1]Landfall Stats'!A:G, 5, 0), "No LF")</f>
        <v>60</v>
      </c>
      <c r="I333" s="3">
        <f>_xlfn.IFNA(VLOOKUP(B333, '[1]Landfall Stats'!A:G, 6, 0), "No LF")</f>
        <v>984</v>
      </c>
      <c r="J333" s="4" t="s">
        <v>488</v>
      </c>
      <c r="K333" s="3">
        <v>4</v>
      </c>
      <c r="L333" s="3"/>
      <c r="M333" s="3"/>
      <c r="N333" s="3">
        <v>4</v>
      </c>
      <c r="O333" s="3" t="s">
        <v>51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12.75" customHeight="1" x14ac:dyDescent="0.2">
      <c r="A334" s="3">
        <v>1999</v>
      </c>
      <c r="B334" s="3" t="s">
        <v>489</v>
      </c>
      <c r="C334" s="3" t="str">
        <f>VLOOKUP($B334, '[1]HURDAT Query'!$A$1:$F$1030, 3, 0)</f>
        <v>EMILY</v>
      </c>
      <c r="D334" s="3" t="str">
        <f>VLOOKUP($B334, '[1]HURDAT Query'!$A$1:$F$1030, 4, 0)</f>
        <v>NA</v>
      </c>
      <c r="E334" s="3" t="str">
        <f>VLOOKUP($B334, '[1]HURDAT Query'!$A$1:$F$1030, 5, 0)</f>
        <v>NA</v>
      </c>
      <c r="F334" s="3" t="str">
        <f>VLOOKUP($B334, '[1]HURDAT Query'!$A$1:$F$1030, 6, 0)</f>
        <v>NA</v>
      </c>
      <c r="G334" s="3" t="str">
        <f>_xlfn.IFNA(VLOOKUP(B334, '[1]Landfall Stats'!A:G, 7, 0), "No LF")</f>
        <v>No LF</v>
      </c>
      <c r="H334" s="3" t="str">
        <f>_xlfn.IFNA(VLOOKUP(B334, '[1]Landfall Stats'!A:G, 5, 0), "No LF")</f>
        <v>No LF</v>
      </c>
      <c r="I334" s="3" t="str">
        <f>_xlfn.IFNA(VLOOKUP(B334, '[1]Landfall Stats'!A:G, 6, 0), "No LF")</f>
        <v>No LF</v>
      </c>
      <c r="J334" s="4" t="s">
        <v>490</v>
      </c>
      <c r="K334" s="3">
        <v>0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2.75" customHeight="1" x14ac:dyDescent="0.2">
      <c r="A335" s="3">
        <v>1999</v>
      </c>
      <c r="B335" s="3" t="s">
        <v>491</v>
      </c>
      <c r="C335" s="3" t="str">
        <f>VLOOKUP($B335, '[1]HURDAT Query'!$A$1:$F$1030, 3, 0)</f>
        <v>FLOYD</v>
      </c>
      <c r="D335" s="3">
        <f>VLOOKUP($B335, '[1]HURDAT Query'!$A$1:$F$1030, 4, 0)</f>
        <v>4</v>
      </c>
      <c r="E335" s="3">
        <f>VLOOKUP($B335, '[1]HURDAT Query'!$A$1:$F$1030, 5, 0)</f>
        <v>135</v>
      </c>
      <c r="F335" s="3">
        <f>VLOOKUP($B335, '[1]HURDAT Query'!$A$1:$F$1030, 6, 0)</f>
        <v>921</v>
      </c>
      <c r="G335" s="3">
        <f>_xlfn.IFNA(VLOOKUP(B335, '[1]Landfall Stats'!A:G, 7, 0), "No LF")</f>
        <v>2</v>
      </c>
      <c r="H335" s="3">
        <f>_xlfn.IFNA(VLOOKUP(B335, '[1]Landfall Stats'!A:G, 5, 0), "No LF")</f>
        <v>90</v>
      </c>
      <c r="I335" s="3">
        <f>_xlfn.IFNA(VLOOKUP(B335, '[1]Landfall Stats'!A:G, 6, 0), "No LF")</f>
        <v>956</v>
      </c>
      <c r="J335" s="4" t="s">
        <v>492</v>
      </c>
      <c r="K335" s="3">
        <v>56</v>
      </c>
      <c r="L335" s="3"/>
      <c r="M335" s="3"/>
      <c r="N335" s="3"/>
      <c r="O335" s="3"/>
      <c r="P335" s="3"/>
      <c r="Q335" s="3"/>
      <c r="R335" s="3"/>
      <c r="S335" s="3"/>
      <c r="T335" s="3">
        <v>50</v>
      </c>
      <c r="U335" s="3" t="s">
        <v>42</v>
      </c>
      <c r="V335" s="3">
        <v>5</v>
      </c>
      <c r="W335" s="3" t="s">
        <v>42</v>
      </c>
      <c r="X335" s="3"/>
      <c r="Y335" s="3"/>
      <c r="Z335" s="3"/>
      <c r="AA335" s="3"/>
      <c r="AB335" s="3"/>
      <c r="AC335" s="3"/>
      <c r="AD335" s="3">
        <v>1</v>
      </c>
      <c r="AE335" s="3" t="s">
        <v>42</v>
      </c>
    </row>
    <row r="336" spans="1:31" ht="12.75" customHeight="1" x14ac:dyDescent="0.2">
      <c r="A336" s="3">
        <v>1999</v>
      </c>
      <c r="B336" s="3" t="s">
        <v>493</v>
      </c>
      <c r="C336" s="3" t="str">
        <f>VLOOKUP($B336, '[1]HURDAT Query'!$A$1:$F$1030, 3, 0)</f>
        <v>GERT</v>
      </c>
      <c r="D336" s="3">
        <f>VLOOKUP($B336, '[1]HURDAT Query'!$A$1:$F$1030, 4, 0)</f>
        <v>4</v>
      </c>
      <c r="E336" s="3">
        <f>VLOOKUP($B336, '[1]HURDAT Query'!$A$1:$F$1030, 5, 0)</f>
        <v>130</v>
      </c>
      <c r="F336" s="3">
        <f>VLOOKUP($B336, '[1]HURDAT Query'!$A$1:$F$1030, 6, 0)</f>
        <v>930</v>
      </c>
      <c r="G336" s="3" t="str">
        <f>_xlfn.IFNA(VLOOKUP(B336, '[1]Landfall Stats'!A:G, 7, 0), "No LF")</f>
        <v>No LF</v>
      </c>
      <c r="H336" s="3" t="str">
        <f>_xlfn.IFNA(VLOOKUP(B336, '[1]Landfall Stats'!A:G, 5, 0), "No LF")</f>
        <v>No LF</v>
      </c>
      <c r="I336" s="3" t="str">
        <f>_xlfn.IFNA(VLOOKUP(B336, '[1]Landfall Stats'!A:G, 6, 0), "No LF")</f>
        <v>No LF</v>
      </c>
      <c r="J336" s="4" t="s">
        <v>494</v>
      </c>
      <c r="K336" s="3">
        <v>2</v>
      </c>
      <c r="L336" s="3"/>
      <c r="M336" s="3"/>
      <c r="N336" s="3">
        <v>2</v>
      </c>
      <c r="O336" s="3" t="s">
        <v>495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2.75" customHeight="1" x14ac:dyDescent="0.2">
      <c r="A337" s="3">
        <v>1999</v>
      </c>
      <c r="B337" s="3" t="s">
        <v>496</v>
      </c>
      <c r="C337" s="3" t="str">
        <f>VLOOKUP($B337, '[1]HURDAT Query'!$A$1:$F$1030, 3, 0)</f>
        <v>HARVEY</v>
      </c>
      <c r="D337" s="3" t="str">
        <f>VLOOKUP($B337, '[1]HURDAT Query'!$A$1:$F$1030, 4, 0)</f>
        <v>NA</v>
      </c>
      <c r="E337" s="3" t="str">
        <f>VLOOKUP($B337, '[1]HURDAT Query'!$A$1:$F$1030, 5, 0)</f>
        <v>NA</v>
      </c>
      <c r="F337" s="3" t="str">
        <f>VLOOKUP($B337, '[1]HURDAT Query'!$A$1:$F$1030, 6, 0)</f>
        <v>NA</v>
      </c>
      <c r="G337" s="3" t="str">
        <f>_xlfn.IFNA(VLOOKUP(B337, '[1]Landfall Stats'!A:G, 7, 0), "No LF")</f>
        <v>NA</v>
      </c>
      <c r="H337" s="3">
        <f>_xlfn.IFNA(VLOOKUP(B337, '[1]Landfall Stats'!A:G, 5, 0), "No LF")</f>
        <v>50</v>
      </c>
      <c r="I337" s="3">
        <f>_xlfn.IFNA(VLOOKUP(B337, '[1]Landfall Stats'!A:G, 6, 0), "No LF")</f>
        <v>999</v>
      </c>
      <c r="J337" s="4" t="s">
        <v>497</v>
      </c>
      <c r="K337" s="3">
        <v>0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2.75" customHeight="1" x14ac:dyDescent="0.2">
      <c r="A338" s="3">
        <v>1999</v>
      </c>
      <c r="B338" s="3" t="s">
        <v>498</v>
      </c>
      <c r="C338" s="3" t="str">
        <f>VLOOKUP($B338, '[1]HURDAT Query'!$A$1:$F$1030, 3, 0)</f>
        <v>IRENE</v>
      </c>
      <c r="D338" s="3">
        <f>VLOOKUP($B338, '[1]HURDAT Query'!$A$1:$F$1030, 4, 0)</f>
        <v>2</v>
      </c>
      <c r="E338" s="3">
        <f>VLOOKUP($B338, '[1]HURDAT Query'!$A$1:$F$1030, 5, 0)</f>
        <v>95</v>
      </c>
      <c r="F338" s="3">
        <f>VLOOKUP($B338, '[1]HURDAT Query'!$A$1:$F$1030, 6, 0)</f>
        <v>958</v>
      </c>
      <c r="G338" s="3">
        <f>_xlfn.IFNA(VLOOKUP(B338, '[1]Landfall Stats'!A:G, 7, 0), "No LF")</f>
        <v>1</v>
      </c>
      <c r="H338" s="3">
        <f>_xlfn.IFNA(VLOOKUP(B338, '[1]Landfall Stats'!A:G, 5, 0), "No LF")</f>
        <v>70</v>
      </c>
      <c r="I338" s="3">
        <f>_xlfn.IFNA(VLOOKUP(B338, '[1]Landfall Stats'!A:G, 6, 0), "No LF")</f>
        <v>987</v>
      </c>
      <c r="J338" s="4" t="s">
        <v>499</v>
      </c>
      <c r="K338" s="3">
        <v>0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2.75" customHeight="1" x14ac:dyDescent="0.2">
      <c r="A339" s="3">
        <v>1999</v>
      </c>
      <c r="B339" s="3" t="s">
        <v>500</v>
      </c>
      <c r="C339" s="3" t="str">
        <f>VLOOKUP($B339, '[1]HURDAT Query'!$A$1:$F$1030, 3, 0)</f>
        <v>JOSE</v>
      </c>
      <c r="D339" s="3">
        <f>VLOOKUP($B339, '[1]HURDAT Query'!$A$1:$F$1030, 4, 0)</f>
        <v>2</v>
      </c>
      <c r="E339" s="3">
        <f>VLOOKUP($B339, '[1]HURDAT Query'!$A$1:$F$1030, 5, 0)</f>
        <v>85</v>
      </c>
      <c r="F339" s="3">
        <f>VLOOKUP($B339, '[1]HURDAT Query'!$A$1:$F$1030, 6, 0)</f>
        <v>979</v>
      </c>
      <c r="G339" s="3" t="str">
        <f>_xlfn.IFNA(VLOOKUP(B339, '[1]Landfall Stats'!A:G, 7, 0), "No LF")</f>
        <v>No LF</v>
      </c>
      <c r="H339" s="3" t="str">
        <f>_xlfn.IFNA(VLOOKUP(B339, '[1]Landfall Stats'!A:G, 5, 0), "No LF")</f>
        <v>No LF</v>
      </c>
      <c r="I339" s="3" t="str">
        <f>_xlfn.IFNA(VLOOKUP(B339, '[1]Landfall Stats'!A:G, 6, 0), "No LF")</f>
        <v>No LF</v>
      </c>
      <c r="J339" s="4" t="s">
        <v>501</v>
      </c>
      <c r="K339" s="3">
        <v>0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2.75" customHeight="1" x14ac:dyDescent="0.2">
      <c r="A340" s="3">
        <v>1999</v>
      </c>
      <c r="B340" s="3" t="s">
        <v>502</v>
      </c>
      <c r="C340" s="3" t="str">
        <f>VLOOKUP($B340, '[1]HURDAT Query'!$A$1:$F$1030, 3, 0)</f>
        <v>KATRINA</v>
      </c>
      <c r="D340" s="3" t="str">
        <f>VLOOKUP($B340, '[1]HURDAT Query'!$A$1:$F$1030, 4, 0)</f>
        <v>NA</v>
      </c>
      <c r="E340" s="3" t="str">
        <f>VLOOKUP($B340, '[1]HURDAT Query'!$A$1:$F$1030, 5, 0)</f>
        <v>NA</v>
      </c>
      <c r="F340" s="3" t="str">
        <f>VLOOKUP($B340, '[1]HURDAT Query'!$A$1:$F$1030, 6, 0)</f>
        <v>NA</v>
      </c>
      <c r="G340" s="3" t="str">
        <f>_xlfn.IFNA(VLOOKUP(B340, '[1]Landfall Stats'!A:G, 7, 0), "No LF")</f>
        <v>No LF</v>
      </c>
      <c r="H340" s="3" t="str">
        <f>_xlfn.IFNA(VLOOKUP(B340, '[1]Landfall Stats'!A:G, 5, 0), "No LF")</f>
        <v>No LF</v>
      </c>
      <c r="I340" s="3" t="str">
        <f>_xlfn.IFNA(VLOOKUP(B340, '[1]Landfall Stats'!A:G, 6, 0), "No LF")</f>
        <v>No LF</v>
      </c>
      <c r="J340" s="4" t="s">
        <v>503</v>
      </c>
      <c r="K340" s="3">
        <v>0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2.75" customHeight="1" x14ac:dyDescent="0.2">
      <c r="A341" s="3">
        <v>1999</v>
      </c>
      <c r="B341" s="3" t="s">
        <v>504</v>
      </c>
      <c r="C341" s="3" t="str">
        <f>VLOOKUP($B341, '[1]HURDAT Query'!$A$1:$F$1030, 3, 0)</f>
        <v>LENNY</v>
      </c>
      <c r="D341" s="3">
        <f>VLOOKUP($B341, '[1]HURDAT Query'!$A$1:$F$1030, 4, 0)</f>
        <v>4</v>
      </c>
      <c r="E341" s="3">
        <f>VLOOKUP($B341, '[1]HURDAT Query'!$A$1:$F$1030, 5, 0)</f>
        <v>135</v>
      </c>
      <c r="F341" s="3">
        <f>VLOOKUP($B341, '[1]HURDAT Query'!$A$1:$F$1030, 6, 0)</f>
        <v>933</v>
      </c>
      <c r="G341" s="3" t="str">
        <f>_xlfn.IFNA(VLOOKUP(B341, '[1]Landfall Stats'!A:G, 7, 0), "No LF")</f>
        <v>No LF</v>
      </c>
      <c r="H341" s="3" t="str">
        <f>_xlfn.IFNA(VLOOKUP(B341, '[1]Landfall Stats'!A:G, 5, 0), "No LF")</f>
        <v>No LF</v>
      </c>
      <c r="I341" s="3" t="str">
        <f>_xlfn.IFNA(VLOOKUP(B341, '[1]Landfall Stats'!A:G, 6, 0), "No LF")</f>
        <v>No LF</v>
      </c>
      <c r="J341" s="4" t="s">
        <v>505</v>
      </c>
      <c r="K341" s="3">
        <v>0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2.75" customHeight="1" x14ac:dyDescent="0.2">
      <c r="A342" s="3">
        <v>2000</v>
      </c>
      <c r="B342" s="3" t="s">
        <v>506</v>
      </c>
      <c r="C342" s="3" t="str">
        <f>VLOOKUP($B342, '[1]HURDAT Query'!$A$1:$F$1030, 3, 0)</f>
        <v>ALBERTO</v>
      </c>
      <c r="D342" s="3">
        <f>VLOOKUP($B342, '[1]HURDAT Query'!$A$1:$F$1030, 4, 0)</f>
        <v>3</v>
      </c>
      <c r="E342" s="3">
        <f>VLOOKUP($B342, '[1]HURDAT Query'!$A$1:$F$1030, 5, 0)</f>
        <v>110</v>
      </c>
      <c r="F342" s="3">
        <f>VLOOKUP($B342, '[1]HURDAT Query'!$A$1:$F$1030, 6, 0)</f>
        <v>950</v>
      </c>
      <c r="G342" s="3" t="str">
        <f>_xlfn.IFNA(VLOOKUP(B342, '[1]Landfall Stats'!A:G, 7, 0), "No LF")</f>
        <v>No LF</v>
      </c>
      <c r="H342" s="3" t="str">
        <f>_xlfn.IFNA(VLOOKUP(B342, '[1]Landfall Stats'!A:G, 5, 0), "No LF")</f>
        <v>No LF</v>
      </c>
      <c r="I342" s="3" t="str">
        <f>_xlfn.IFNA(VLOOKUP(B342, '[1]Landfall Stats'!A:G, 6, 0), "No LF")</f>
        <v>No LF</v>
      </c>
      <c r="J342" s="4" t="s">
        <v>507</v>
      </c>
      <c r="K342" s="3">
        <v>0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2.75" customHeight="1" x14ac:dyDescent="0.2">
      <c r="A343" s="3">
        <v>2000</v>
      </c>
      <c r="B343" s="3" t="s">
        <v>508</v>
      </c>
      <c r="C343" s="3" t="str">
        <f>VLOOKUP($B343, '[1]HURDAT Query'!$A$1:$F$1030, 3, 0)</f>
        <v>BERYL</v>
      </c>
      <c r="D343" s="3" t="str">
        <f>VLOOKUP($B343, '[1]HURDAT Query'!$A$1:$F$1030, 4, 0)</f>
        <v>NA</v>
      </c>
      <c r="E343" s="3" t="str">
        <f>VLOOKUP($B343, '[1]HURDAT Query'!$A$1:$F$1030, 5, 0)</f>
        <v>NA</v>
      </c>
      <c r="F343" s="3" t="str">
        <f>VLOOKUP($B343, '[1]HURDAT Query'!$A$1:$F$1030, 6, 0)</f>
        <v>NA</v>
      </c>
      <c r="G343" s="3" t="str">
        <f>_xlfn.IFNA(VLOOKUP(B343, '[1]Landfall Stats'!A:G, 7, 0), "No LF")</f>
        <v>No LF</v>
      </c>
      <c r="H343" s="3" t="str">
        <f>_xlfn.IFNA(VLOOKUP(B343, '[1]Landfall Stats'!A:G, 5, 0), "No LF")</f>
        <v>No LF</v>
      </c>
      <c r="I343" s="3" t="str">
        <f>_xlfn.IFNA(VLOOKUP(B343, '[1]Landfall Stats'!A:G, 6, 0), "No LF")</f>
        <v>No LF</v>
      </c>
      <c r="J343" s="4" t="s">
        <v>509</v>
      </c>
      <c r="K343" s="3">
        <v>0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2.75" customHeight="1" x14ac:dyDescent="0.2">
      <c r="A344" s="3">
        <v>2000</v>
      </c>
      <c r="B344" s="3" t="s">
        <v>510</v>
      </c>
      <c r="C344" s="3" t="str">
        <f>VLOOKUP($B344, '[1]HURDAT Query'!$A$1:$F$1030, 3, 0)</f>
        <v>CHRIS</v>
      </c>
      <c r="D344" s="3" t="str">
        <f>VLOOKUP($B344, '[1]HURDAT Query'!$A$1:$F$1030, 4, 0)</f>
        <v>NA</v>
      </c>
      <c r="E344" s="3" t="str">
        <f>VLOOKUP($B344, '[1]HURDAT Query'!$A$1:$F$1030, 5, 0)</f>
        <v>NA</v>
      </c>
      <c r="F344" s="3" t="str">
        <f>VLOOKUP($B344, '[1]HURDAT Query'!$A$1:$F$1030, 6, 0)</f>
        <v>NA</v>
      </c>
      <c r="G344" s="3" t="str">
        <f>_xlfn.IFNA(VLOOKUP(B344, '[1]Landfall Stats'!A:G, 7, 0), "No LF")</f>
        <v>No LF</v>
      </c>
      <c r="H344" s="3" t="str">
        <f>_xlfn.IFNA(VLOOKUP(B344, '[1]Landfall Stats'!A:G, 5, 0), "No LF")</f>
        <v>No LF</v>
      </c>
      <c r="I344" s="3" t="str">
        <f>_xlfn.IFNA(VLOOKUP(B344, '[1]Landfall Stats'!A:G, 6, 0), "No LF")</f>
        <v>No LF</v>
      </c>
      <c r="J344" s="4" t="s">
        <v>511</v>
      </c>
      <c r="K344" s="3">
        <v>0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2.75" customHeight="1" x14ac:dyDescent="0.2">
      <c r="A345" s="3">
        <v>2000</v>
      </c>
      <c r="B345" s="3" t="s">
        <v>512</v>
      </c>
      <c r="C345" s="3" t="str">
        <f>VLOOKUP($B345, '[1]HURDAT Query'!$A$1:$F$1030, 3, 0)</f>
        <v>DEBBY</v>
      </c>
      <c r="D345" s="3">
        <f>VLOOKUP($B345, '[1]HURDAT Query'!$A$1:$F$1030, 4, 0)</f>
        <v>1</v>
      </c>
      <c r="E345" s="3">
        <f>VLOOKUP($B345, '[1]HURDAT Query'!$A$1:$F$1030, 5, 0)</f>
        <v>75</v>
      </c>
      <c r="F345" s="3">
        <f>VLOOKUP($B345, '[1]HURDAT Query'!$A$1:$F$1030, 6, 0)</f>
        <v>991</v>
      </c>
      <c r="G345" s="3" t="str">
        <f>_xlfn.IFNA(VLOOKUP(B345, '[1]Landfall Stats'!A:G, 7, 0), "No LF")</f>
        <v>No LF</v>
      </c>
      <c r="H345" s="3" t="str">
        <f>_xlfn.IFNA(VLOOKUP(B345, '[1]Landfall Stats'!A:G, 5, 0), "No LF")</f>
        <v>No LF</v>
      </c>
      <c r="I345" s="3" t="str">
        <f>_xlfn.IFNA(VLOOKUP(B345, '[1]Landfall Stats'!A:G, 6, 0), "No LF")</f>
        <v>No LF</v>
      </c>
      <c r="J345" s="4" t="s">
        <v>513</v>
      </c>
      <c r="K345" s="3">
        <v>0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2.75" customHeight="1" x14ac:dyDescent="0.2">
      <c r="A346" s="3">
        <v>2000</v>
      </c>
      <c r="B346" s="3" t="s">
        <v>514</v>
      </c>
      <c r="C346" s="3" t="str">
        <f>VLOOKUP($B346, '[1]HURDAT Query'!$A$1:$F$1030, 3, 0)</f>
        <v>ERNESTO</v>
      </c>
      <c r="D346" s="3" t="str">
        <f>VLOOKUP($B346, '[1]HURDAT Query'!$A$1:$F$1030, 4, 0)</f>
        <v>NA</v>
      </c>
      <c r="E346" s="3" t="str">
        <f>VLOOKUP($B346, '[1]HURDAT Query'!$A$1:$F$1030, 5, 0)</f>
        <v>NA</v>
      </c>
      <c r="F346" s="3" t="str">
        <f>VLOOKUP($B346, '[1]HURDAT Query'!$A$1:$F$1030, 6, 0)</f>
        <v>NA</v>
      </c>
      <c r="G346" s="3" t="str">
        <f>_xlfn.IFNA(VLOOKUP(B346, '[1]Landfall Stats'!A:G, 7, 0), "No LF")</f>
        <v>No LF</v>
      </c>
      <c r="H346" s="3" t="str">
        <f>_xlfn.IFNA(VLOOKUP(B346, '[1]Landfall Stats'!A:G, 5, 0), "No LF")</f>
        <v>No LF</v>
      </c>
      <c r="I346" s="3" t="str">
        <f>_xlfn.IFNA(VLOOKUP(B346, '[1]Landfall Stats'!A:G, 6, 0), "No LF")</f>
        <v>No LF</v>
      </c>
      <c r="J346" s="4" t="s">
        <v>515</v>
      </c>
      <c r="K346" s="3">
        <v>0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2.75" customHeight="1" x14ac:dyDescent="0.2">
      <c r="A347" s="3">
        <v>2000</v>
      </c>
      <c r="B347" s="3" t="s">
        <v>516</v>
      </c>
      <c r="C347" s="3" t="str">
        <f>VLOOKUP($B347, '[1]HURDAT Query'!$A$1:$F$1030, 3, 0)</f>
        <v>FLORENCE</v>
      </c>
      <c r="D347" s="3">
        <f>VLOOKUP($B347, '[1]HURDAT Query'!$A$1:$F$1030, 4, 0)</f>
        <v>1</v>
      </c>
      <c r="E347" s="3">
        <f>VLOOKUP($B347, '[1]HURDAT Query'!$A$1:$F$1030, 5, 0)</f>
        <v>70</v>
      </c>
      <c r="F347" s="3">
        <f>VLOOKUP($B347, '[1]HURDAT Query'!$A$1:$F$1030, 6, 0)</f>
        <v>985</v>
      </c>
      <c r="G347" s="3" t="str">
        <f>_xlfn.IFNA(VLOOKUP(B347, '[1]Landfall Stats'!A:G, 7, 0), "No LF")</f>
        <v>No LF</v>
      </c>
      <c r="H347" s="3" t="str">
        <f>_xlfn.IFNA(VLOOKUP(B347, '[1]Landfall Stats'!A:G, 5, 0), "No LF")</f>
        <v>No LF</v>
      </c>
      <c r="I347" s="3" t="str">
        <f>_xlfn.IFNA(VLOOKUP(B347, '[1]Landfall Stats'!A:G, 6, 0), "No LF")</f>
        <v>No LF</v>
      </c>
      <c r="J347" s="4" t="s">
        <v>517</v>
      </c>
      <c r="K347" s="3">
        <v>3</v>
      </c>
      <c r="L347" s="3"/>
      <c r="M347" s="3"/>
      <c r="N347" s="3">
        <v>3</v>
      </c>
      <c r="O347" s="3" t="s">
        <v>290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2.75" customHeight="1" x14ac:dyDescent="0.2">
      <c r="A348" s="3">
        <v>2000</v>
      </c>
      <c r="B348" s="3" t="s">
        <v>518</v>
      </c>
      <c r="C348" s="3" t="str">
        <f>VLOOKUP($B348, '[1]HURDAT Query'!$A$1:$F$1030, 3, 0)</f>
        <v>GORDON</v>
      </c>
      <c r="D348" s="3">
        <f>VLOOKUP($B348, '[1]HURDAT Query'!$A$1:$F$1030, 4, 0)</f>
        <v>1</v>
      </c>
      <c r="E348" s="3">
        <f>VLOOKUP($B348, '[1]HURDAT Query'!$A$1:$F$1030, 5, 0)</f>
        <v>70</v>
      </c>
      <c r="F348" s="3">
        <f>VLOOKUP($B348, '[1]HURDAT Query'!$A$1:$F$1030, 6, 0)</f>
        <v>981</v>
      </c>
      <c r="G348" s="3" t="str">
        <f>_xlfn.IFNA(VLOOKUP(B348, '[1]Landfall Stats'!A:G, 7, 0), "No LF")</f>
        <v>NA</v>
      </c>
      <c r="H348" s="3">
        <f>_xlfn.IFNA(VLOOKUP(B348, '[1]Landfall Stats'!A:G, 5, 0), "No LF")</f>
        <v>55</v>
      </c>
      <c r="I348" s="3">
        <f>_xlfn.IFNA(VLOOKUP(B348, '[1]Landfall Stats'!A:G, 6, 0), "No LF")</f>
        <v>991</v>
      </c>
      <c r="J348" s="4" t="s">
        <v>519</v>
      </c>
      <c r="K348" s="3">
        <v>1</v>
      </c>
      <c r="L348" s="3"/>
      <c r="M348" s="3"/>
      <c r="N348" s="3">
        <v>1</v>
      </c>
      <c r="O348" s="3" t="s">
        <v>51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2.75" customHeight="1" x14ac:dyDescent="0.2">
      <c r="A349" s="3">
        <v>2000</v>
      </c>
      <c r="B349" s="3" t="s">
        <v>520</v>
      </c>
      <c r="C349" s="3" t="str">
        <f>VLOOKUP($B349, '[1]HURDAT Query'!$A$1:$F$1030, 3, 0)</f>
        <v>HELENE</v>
      </c>
      <c r="D349" s="3" t="str">
        <f>VLOOKUP($B349, '[1]HURDAT Query'!$A$1:$F$1030, 4, 0)</f>
        <v>NA</v>
      </c>
      <c r="E349" s="3" t="str">
        <f>VLOOKUP($B349, '[1]HURDAT Query'!$A$1:$F$1030, 5, 0)</f>
        <v>NA</v>
      </c>
      <c r="F349" s="3" t="str">
        <f>VLOOKUP($B349, '[1]HURDAT Query'!$A$1:$F$1030, 6, 0)</f>
        <v>NA</v>
      </c>
      <c r="G349" s="3" t="str">
        <f>_xlfn.IFNA(VLOOKUP(B349, '[1]Landfall Stats'!A:G, 7, 0), "No LF")</f>
        <v>NA</v>
      </c>
      <c r="H349" s="3">
        <f>_xlfn.IFNA(VLOOKUP(B349, '[1]Landfall Stats'!A:G, 5, 0), "No LF")</f>
        <v>35</v>
      </c>
      <c r="I349" s="3">
        <f>_xlfn.IFNA(VLOOKUP(B349, '[1]Landfall Stats'!A:G, 6, 0), "No LF")</f>
        <v>1006</v>
      </c>
      <c r="J349" s="4" t="s">
        <v>521</v>
      </c>
      <c r="K349" s="3">
        <v>1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>
        <v>1</v>
      </c>
      <c r="AA349" s="3" t="s">
        <v>310</v>
      </c>
      <c r="AB349" s="3"/>
      <c r="AC349" s="3"/>
      <c r="AD349" s="3"/>
      <c r="AE349" s="3"/>
    </row>
    <row r="350" spans="1:31" ht="12.75" customHeight="1" x14ac:dyDescent="0.2">
      <c r="A350" s="3">
        <v>2000</v>
      </c>
      <c r="B350" s="3" t="s">
        <v>522</v>
      </c>
      <c r="C350" s="3" t="str">
        <f>VLOOKUP($B350, '[1]HURDAT Query'!$A$1:$F$1030, 3, 0)</f>
        <v>ISAAC</v>
      </c>
      <c r="D350" s="3">
        <f>VLOOKUP($B350, '[1]HURDAT Query'!$A$1:$F$1030, 4, 0)</f>
        <v>4</v>
      </c>
      <c r="E350" s="3">
        <f>VLOOKUP($B350, '[1]HURDAT Query'!$A$1:$F$1030, 5, 0)</f>
        <v>120</v>
      </c>
      <c r="F350" s="3">
        <f>VLOOKUP($B350, '[1]HURDAT Query'!$A$1:$F$1030, 6, 0)</f>
        <v>943</v>
      </c>
      <c r="G350" s="3" t="str">
        <f>_xlfn.IFNA(VLOOKUP(B350, '[1]Landfall Stats'!A:G, 7, 0), "No LF")</f>
        <v>No LF</v>
      </c>
      <c r="H350" s="3" t="str">
        <f>_xlfn.IFNA(VLOOKUP(B350, '[1]Landfall Stats'!A:G, 5, 0), "No LF")</f>
        <v>No LF</v>
      </c>
      <c r="I350" s="3" t="str">
        <f>_xlfn.IFNA(VLOOKUP(B350, '[1]Landfall Stats'!A:G, 6, 0), "No LF")</f>
        <v>No LF</v>
      </c>
      <c r="J350" s="4" t="s">
        <v>523</v>
      </c>
      <c r="K350" s="3">
        <v>1</v>
      </c>
      <c r="L350" s="3"/>
      <c r="M350" s="3"/>
      <c r="N350" s="3"/>
      <c r="O350" s="3"/>
      <c r="P350" s="3">
        <v>1</v>
      </c>
      <c r="Q350" s="3" t="s">
        <v>182</v>
      </c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2.75" customHeight="1" x14ac:dyDescent="0.2">
      <c r="A351" s="3">
        <v>2000</v>
      </c>
      <c r="B351" s="3" t="s">
        <v>524</v>
      </c>
      <c r="C351" s="3" t="str">
        <f>VLOOKUP($B351, '[1]HURDAT Query'!$A$1:$F$1030, 3, 0)</f>
        <v>JOYCE</v>
      </c>
      <c r="D351" s="3">
        <f>VLOOKUP($B351, '[1]HURDAT Query'!$A$1:$F$1030, 4, 0)</f>
        <v>1</v>
      </c>
      <c r="E351" s="3">
        <f>VLOOKUP($B351, '[1]HURDAT Query'!$A$1:$F$1030, 5, 0)</f>
        <v>80</v>
      </c>
      <c r="F351" s="3">
        <f>VLOOKUP($B351, '[1]HURDAT Query'!$A$1:$F$1030, 6, 0)</f>
        <v>975</v>
      </c>
      <c r="G351" s="3" t="str">
        <f>_xlfn.IFNA(VLOOKUP(B351, '[1]Landfall Stats'!A:G, 7, 0), "No LF")</f>
        <v>No LF</v>
      </c>
      <c r="H351" s="3" t="str">
        <f>_xlfn.IFNA(VLOOKUP(B351, '[1]Landfall Stats'!A:G, 5, 0), "No LF")</f>
        <v>No LF</v>
      </c>
      <c r="I351" s="3" t="str">
        <f>_xlfn.IFNA(VLOOKUP(B351, '[1]Landfall Stats'!A:G, 6, 0), "No LF")</f>
        <v>No LF</v>
      </c>
      <c r="J351" s="4" t="s">
        <v>525</v>
      </c>
      <c r="K351" s="3">
        <v>0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2.75" customHeight="1" x14ac:dyDescent="0.2">
      <c r="A352" s="3">
        <v>2000</v>
      </c>
      <c r="B352" s="3" t="s">
        <v>526</v>
      </c>
      <c r="C352" s="3" t="str">
        <f>VLOOKUP($B352, '[1]HURDAT Query'!$A$1:$F$1030, 3, 0)</f>
        <v>KEITH</v>
      </c>
      <c r="D352" s="3">
        <f>VLOOKUP($B352, '[1]HURDAT Query'!$A$1:$F$1030, 4, 0)</f>
        <v>4</v>
      </c>
      <c r="E352" s="3">
        <f>VLOOKUP($B352, '[1]HURDAT Query'!$A$1:$F$1030, 5, 0)</f>
        <v>120</v>
      </c>
      <c r="F352" s="3">
        <f>VLOOKUP($B352, '[1]HURDAT Query'!$A$1:$F$1030, 6, 0)</f>
        <v>939</v>
      </c>
      <c r="G352" s="3" t="str">
        <f>_xlfn.IFNA(VLOOKUP(B352, '[1]Landfall Stats'!A:G, 7, 0), "No LF")</f>
        <v>No LF</v>
      </c>
      <c r="H352" s="3" t="str">
        <f>_xlfn.IFNA(VLOOKUP(B352, '[1]Landfall Stats'!A:G, 5, 0), "No LF")</f>
        <v>No LF</v>
      </c>
      <c r="I352" s="3" t="str">
        <f>_xlfn.IFNA(VLOOKUP(B352, '[1]Landfall Stats'!A:G, 6, 0), "No LF")</f>
        <v>No LF</v>
      </c>
      <c r="J352" s="4" t="s">
        <v>527</v>
      </c>
      <c r="K352" s="3">
        <v>0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2.75" customHeight="1" x14ac:dyDescent="0.2">
      <c r="A353" s="3">
        <v>2000</v>
      </c>
      <c r="B353" s="3" t="s">
        <v>528</v>
      </c>
      <c r="C353" s="3" t="str">
        <f>VLOOKUP($B353, '[1]HURDAT Query'!$A$1:$F$1030, 3, 0)</f>
        <v>LESLIE</v>
      </c>
      <c r="D353" s="3" t="str">
        <f>VLOOKUP($B353, '[1]HURDAT Query'!$A$1:$F$1030, 4, 0)</f>
        <v>NA</v>
      </c>
      <c r="E353" s="3" t="str">
        <f>VLOOKUP($B353, '[1]HURDAT Query'!$A$1:$F$1030, 5, 0)</f>
        <v>NA</v>
      </c>
      <c r="F353" s="3" t="str">
        <f>VLOOKUP($B353, '[1]HURDAT Query'!$A$1:$F$1030, 6, 0)</f>
        <v>NA</v>
      </c>
      <c r="G353" s="3" t="str">
        <f>_xlfn.IFNA(VLOOKUP(B353, '[1]Landfall Stats'!A:G, 7, 0), "No LF")</f>
        <v>No LF</v>
      </c>
      <c r="H353" s="3" t="str">
        <f>_xlfn.IFNA(VLOOKUP(B353, '[1]Landfall Stats'!A:G, 5, 0), "No LF")</f>
        <v>No LF</v>
      </c>
      <c r="I353" s="3" t="str">
        <f>_xlfn.IFNA(VLOOKUP(B353, '[1]Landfall Stats'!A:G, 6, 0), "No LF")</f>
        <v>No LF</v>
      </c>
      <c r="J353" s="4" t="s">
        <v>529</v>
      </c>
      <c r="K353" s="3">
        <v>0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2.75" customHeight="1" x14ac:dyDescent="0.2">
      <c r="A354" s="3">
        <v>2000</v>
      </c>
      <c r="B354" s="3" t="s">
        <v>530</v>
      </c>
      <c r="C354" s="3" t="str">
        <f>VLOOKUP($B354, '[1]HURDAT Query'!$A$1:$F$1030, 3, 0)</f>
        <v>MICHAEL</v>
      </c>
      <c r="D354" s="3">
        <f>VLOOKUP($B354, '[1]HURDAT Query'!$A$1:$F$1030, 4, 0)</f>
        <v>2</v>
      </c>
      <c r="E354" s="3">
        <f>VLOOKUP($B354, '[1]HURDAT Query'!$A$1:$F$1030, 5, 0)</f>
        <v>85</v>
      </c>
      <c r="F354" s="3">
        <f>VLOOKUP($B354, '[1]HURDAT Query'!$A$1:$F$1030, 6, 0)</f>
        <v>965</v>
      </c>
      <c r="G354" s="3" t="str">
        <f>_xlfn.IFNA(VLOOKUP(B354, '[1]Landfall Stats'!A:G, 7, 0), "No LF")</f>
        <v>No LF</v>
      </c>
      <c r="H354" s="3" t="str">
        <f>_xlfn.IFNA(VLOOKUP(B354, '[1]Landfall Stats'!A:G, 5, 0), "No LF")</f>
        <v>No LF</v>
      </c>
      <c r="I354" s="3" t="str">
        <f>_xlfn.IFNA(VLOOKUP(B354, '[1]Landfall Stats'!A:G, 6, 0), "No LF")</f>
        <v>No LF</v>
      </c>
      <c r="J354" s="4" t="s">
        <v>531</v>
      </c>
      <c r="K354" s="3">
        <v>0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2.75" customHeight="1" x14ac:dyDescent="0.2">
      <c r="A355" s="3">
        <v>2000</v>
      </c>
      <c r="B355" s="3" t="s">
        <v>532</v>
      </c>
      <c r="C355" s="3" t="str">
        <f>VLOOKUP($B355, '[1]HURDAT Query'!$A$1:$F$1030, 3, 0)</f>
        <v>NADINE</v>
      </c>
      <c r="D355" s="3" t="str">
        <f>VLOOKUP($B355, '[1]HURDAT Query'!$A$1:$F$1030, 4, 0)</f>
        <v>NA</v>
      </c>
      <c r="E355" s="3" t="str">
        <f>VLOOKUP($B355, '[1]HURDAT Query'!$A$1:$F$1030, 5, 0)</f>
        <v>NA</v>
      </c>
      <c r="F355" s="3" t="str">
        <f>VLOOKUP($B355, '[1]HURDAT Query'!$A$1:$F$1030, 6, 0)</f>
        <v>NA</v>
      </c>
      <c r="G355" s="3" t="str">
        <f>_xlfn.IFNA(VLOOKUP(B355, '[1]Landfall Stats'!A:G, 7, 0), "No LF")</f>
        <v>No LF</v>
      </c>
      <c r="H355" s="3" t="str">
        <f>_xlfn.IFNA(VLOOKUP(B355, '[1]Landfall Stats'!A:G, 5, 0), "No LF")</f>
        <v>No LF</v>
      </c>
      <c r="I355" s="3" t="str">
        <f>_xlfn.IFNA(VLOOKUP(B355, '[1]Landfall Stats'!A:G, 6, 0), "No LF")</f>
        <v>No LF</v>
      </c>
      <c r="J355" s="4" t="s">
        <v>533</v>
      </c>
      <c r="K355" s="3">
        <v>0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2.75" customHeight="1" x14ac:dyDescent="0.2">
      <c r="A356" s="3">
        <v>2001</v>
      </c>
      <c r="B356" s="3" t="s">
        <v>534</v>
      </c>
      <c r="C356" s="3" t="str">
        <f>VLOOKUP($B356, '[1]HURDAT Query'!$A$1:$F$1030, 3, 0)</f>
        <v>ALLISON</v>
      </c>
      <c r="D356" s="3" t="str">
        <f>VLOOKUP($B356, '[1]HURDAT Query'!$A$1:$F$1030, 4, 0)</f>
        <v>NA</v>
      </c>
      <c r="E356" s="3" t="str">
        <f>VLOOKUP($B356, '[1]HURDAT Query'!$A$1:$F$1030, 5, 0)</f>
        <v>NA</v>
      </c>
      <c r="F356" s="3" t="str">
        <f>VLOOKUP($B356, '[1]HURDAT Query'!$A$1:$F$1030, 6, 0)</f>
        <v>NA</v>
      </c>
      <c r="G356" s="3" t="str">
        <f>_xlfn.IFNA(VLOOKUP(B356, '[1]Landfall Stats'!A:G, 7, 0), "No LF")</f>
        <v>NA</v>
      </c>
      <c r="H356" s="3">
        <f>_xlfn.IFNA(VLOOKUP(B356, '[1]Landfall Stats'!A:G, 5, 0), "No LF")</f>
        <v>45</v>
      </c>
      <c r="I356" s="3">
        <f>_xlfn.IFNA(VLOOKUP(B356, '[1]Landfall Stats'!A:G, 6, 0), "No LF")</f>
        <v>1003</v>
      </c>
      <c r="J356" s="4" t="s">
        <v>535</v>
      </c>
      <c r="K356" s="3">
        <v>41</v>
      </c>
      <c r="L356" s="3"/>
      <c r="M356" s="3"/>
      <c r="N356" s="3"/>
      <c r="O356" s="3"/>
      <c r="P356" s="3"/>
      <c r="Q356" s="3"/>
      <c r="R356" s="3"/>
      <c r="S356" s="3"/>
      <c r="T356" s="3">
        <v>27</v>
      </c>
      <c r="U356" s="3" t="s">
        <v>42</v>
      </c>
      <c r="V356" s="3"/>
      <c r="W356" s="3"/>
      <c r="X356" s="3"/>
      <c r="Y356" s="3"/>
      <c r="Z356" s="3">
        <v>1</v>
      </c>
      <c r="AA356" s="3" t="s">
        <v>37</v>
      </c>
      <c r="AB356" s="3"/>
      <c r="AC356" s="3"/>
      <c r="AD356" s="3">
        <v>13</v>
      </c>
      <c r="AE356" s="3" t="s">
        <v>42</v>
      </c>
    </row>
    <row r="357" spans="1:31" ht="12.75" customHeight="1" x14ac:dyDescent="0.2">
      <c r="A357" s="3">
        <v>2001</v>
      </c>
      <c r="B357" s="3" t="s">
        <v>536</v>
      </c>
      <c r="C357" s="3" t="str">
        <f>VLOOKUP($B357, '[1]HURDAT Query'!$A$1:$F$1030, 3, 0)</f>
        <v>BARRY</v>
      </c>
      <c r="D357" s="3" t="str">
        <f>VLOOKUP($B357, '[1]HURDAT Query'!$A$1:$F$1030, 4, 0)</f>
        <v>NA</v>
      </c>
      <c r="E357" s="3" t="str">
        <f>VLOOKUP($B357, '[1]HURDAT Query'!$A$1:$F$1030, 5, 0)</f>
        <v>NA</v>
      </c>
      <c r="F357" s="3" t="str">
        <f>VLOOKUP($B357, '[1]HURDAT Query'!$A$1:$F$1030, 6, 0)</f>
        <v>NA</v>
      </c>
      <c r="G357" s="3" t="str">
        <f>_xlfn.IFNA(VLOOKUP(B357, '[1]Landfall Stats'!A:G, 7, 0), "No LF")</f>
        <v>NA</v>
      </c>
      <c r="H357" s="3">
        <f>_xlfn.IFNA(VLOOKUP(B357, '[1]Landfall Stats'!A:G, 5, 0), "No LF")</f>
        <v>60</v>
      </c>
      <c r="I357" s="3">
        <f>_xlfn.IFNA(VLOOKUP(B357, '[1]Landfall Stats'!A:G, 6, 0), "No LF")</f>
        <v>990</v>
      </c>
      <c r="J357" s="4" t="s">
        <v>537</v>
      </c>
      <c r="K357" s="3">
        <v>2</v>
      </c>
      <c r="L357" s="3"/>
      <c r="M357" s="3"/>
      <c r="N357" s="3"/>
      <c r="O357" s="3"/>
      <c r="P357" s="3"/>
      <c r="Q357" s="3"/>
      <c r="R357" s="3">
        <v>1</v>
      </c>
      <c r="S357" s="3" t="s">
        <v>51</v>
      </c>
      <c r="T357" s="3"/>
      <c r="U357" s="3"/>
      <c r="V357" s="3"/>
      <c r="W357" s="3"/>
      <c r="X357" s="3"/>
      <c r="Y357" s="3"/>
      <c r="Z357" s="3"/>
      <c r="AA357" s="3"/>
      <c r="AB357" s="3">
        <v>1</v>
      </c>
      <c r="AC357" s="3" t="s">
        <v>51</v>
      </c>
      <c r="AD357" s="3"/>
      <c r="AE357" s="3"/>
    </row>
    <row r="358" spans="1:31" ht="12.75" customHeight="1" x14ac:dyDescent="0.2">
      <c r="A358" s="3">
        <v>2001</v>
      </c>
      <c r="B358" s="3" t="s">
        <v>538</v>
      </c>
      <c r="C358" s="3" t="str">
        <f>VLOOKUP($B358, '[1]HURDAT Query'!$A$1:$F$1030, 3, 0)</f>
        <v>CHANTAL</v>
      </c>
      <c r="D358" s="3" t="str">
        <f>VLOOKUP($B358, '[1]HURDAT Query'!$A$1:$F$1030, 4, 0)</f>
        <v>NA</v>
      </c>
      <c r="E358" s="3" t="str">
        <f>VLOOKUP($B358, '[1]HURDAT Query'!$A$1:$F$1030, 5, 0)</f>
        <v>NA</v>
      </c>
      <c r="F358" s="3" t="str">
        <f>VLOOKUP($B358, '[1]HURDAT Query'!$A$1:$F$1030, 6, 0)</f>
        <v>NA</v>
      </c>
      <c r="G358" s="3" t="str">
        <f>_xlfn.IFNA(VLOOKUP(B358, '[1]Landfall Stats'!A:G, 7, 0), "No LF")</f>
        <v>No LF</v>
      </c>
      <c r="H358" s="3" t="str">
        <f>_xlfn.IFNA(VLOOKUP(B358, '[1]Landfall Stats'!A:G, 5, 0), "No LF")</f>
        <v>No LF</v>
      </c>
      <c r="I358" s="3" t="str">
        <f>_xlfn.IFNA(VLOOKUP(B358, '[1]Landfall Stats'!A:G, 6, 0), "No LF")</f>
        <v>No LF</v>
      </c>
      <c r="J358" s="4" t="s">
        <v>539</v>
      </c>
      <c r="K358" s="3">
        <v>0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2.75" customHeight="1" x14ac:dyDescent="0.2">
      <c r="A359" s="3">
        <v>2001</v>
      </c>
      <c r="B359" s="3" t="s">
        <v>540</v>
      </c>
      <c r="C359" s="3" t="str">
        <f>VLOOKUP($B359, '[1]HURDAT Query'!$A$1:$F$1030, 3, 0)</f>
        <v>DEAN</v>
      </c>
      <c r="D359" s="3" t="str">
        <f>VLOOKUP($B359, '[1]HURDAT Query'!$A$1:$F$1030, 4, 0)</f>
        <v>NA</v>
      </c>
      <c r="E359" s="3" t="str">
        <f>VLOOKUP($B359, '[1]HURDAT Query'!$A$1:$F$1030, 5, 0)</f>
        <v>NA</v>
      </c>
      <c r="F359" s="3" t="str">
        <f>VLOOKUP($B359, '[1]HURDAT Query'!$A$1:$F$1030, 6, 0)</f>
        <v>NA</v>
      </c>
      <c r="G359" s="3" t="str">
        <f>_xlfn.IFNA(VLOOKUP(B359, '[1]Landfall Stats'!A:G, 7, 0), "No LF")</f>
        <v>No LF</v>
      </c>
      <c r="H359" s="3" t="str">
        <f>_xlfn.IFNA(VLOOKUP(B359, '[1]Landfall Stats'!A:G, 5, 0), "No LF")</f>
        <v>No LF</v>
      </c>
      <c r="I359" s="3" t="str">
        <f>_xlfn.IFNA(VLOOKUP(B359, '[1]Landfall Stats'!A:G, 6, 0), "No LF")</f>
        <v>No LF</v>
      </c>
      <c r="J359" s="4" t="s">
        <v>541</v>
      </c>
      <c r="K359" s="3">
        <v>0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2.75" customHeight="1" x14ac:dyDescent="0.2">
      <c r="A360" s="3">
        <v>2001</v>
      </c>
      <c r="B360" s="3" t="s">
        <v>542</v>
      </c>
      <c r="C360" s="3" t="str">
        <f>VLOOKUP($B360, '[1]HURDAT Query'!$A$1:$F$1030, 3, 0)</f>
        <v>ERIN</v>
      </c>
      <c r="D360" s="3">
        <f>VLOOKUP($B360, '[1]HURDAT Query'!$A$1:$F$1030, 4, 0)</f>
        <v>3</v>
      </c>
      <c r="E360" s="3">
        <f>VLOOKUP($B360, '[1]HURDAT Query'!$A$1:$F$1030, 5, 0)</f>
        <v>105</v>
      </c>
      <c r="F360" s="3">
        <f>VLOOKUP($B360, '[1]HURDAT Query'!$A$1:$F$1030, 6, 0)</f>
        <v>968</v>
      </c>
      <c r="G360" s="3" t="str">
        <f>_xlfn.IFNA(VLOOKUP(B360, '[1]Landfall Stats'!A:G, 7, 0), "No LF")</f>
        <v>No LF</v>
      </c>
      <c r="H360" s="3" t="str">
        <f>_xlfn.IFNA(VLOOKUP(B360, '[1]Landfall Stats'!A:G, 5, 0), "No LF")</f>
        <v>No LF</v>
      </c>
      <c r="I360" s="3" t="str">
        <f>_xlfn.IFNA(VLOOKUP(B360, '[1]Landfall Stats'!A:G, 6, 0), "No LF")</f>
        <v>No LF</v>
      </c>
      <c r="J360" s="4" t="s">
        <v>543</v>
      </c>
      <c r="K360" s="3">
        <v>0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2.75" customHeight="1" x14ac:dyDescent="0.2">
      <c r="A361" s="3">
        <v>2001</v>
      </c>
      <c r="B361" s="3" t="s">
        <v>544</v>
      </c>
      <c r="C361" s="3" t="str">
        <f>VLOOKUP($B361, '[1]HURDAT Query'!$A$1:$F$1030, 3, 0)</f>
        <v>FELIX</v>
      </c>
      <c r="D361" s="3">
        <f>VLOOKUP($B361, '[1]HURDAT Query'!$A$1:$F$1030, 4, 0)</f>
        <v>3</v>
      </c>
      <c r="E361" s="3">
        <f>VLOOKUP($B361, '[1]HURDAT Query'!$A$1:$F$1030, 5, 0)</f>
        <v>100</v>
      </c>
      <c r="F361" s="3">
        <f>VLOOKUP($B361, '[1]HURDAT Query'!$A$1:$F$1030, 6, 0)</f>
        <v>962</v>
      </c>
      <c r="G361" s="3" t="str">
        <f>_xlfn.IFNA(VLOOKUP(B361, '[1]Landfall Stats'!A:G, 7, 0), "No LF")</f>
        <v>No LF</v>
      </c>
      <c r="H361" s="3" t="str">
        <f>_xlfn.IFNA(VLOOKUP(B361, '[1]Landfall Stats'!A:G, 5, 0), "No LF")</f>
        <v>No LF</v>
      </c>
      <c r="I361" s="3" t="str">
        <f>_xlfn.IFNA(VLOOKUP(B361, '[1]Landfall Stats'!A:G, 6, 0), "No LF")</f>
        <v>No LF</v>
      </c>
      <c r="J361" s="4" t="s">
        <v>545</v>
      </c>
      <c r="K361" s="3">
        <v>0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2.75" customHeight="1" x14ac:dyDescent="0.2">
      <c r="A362" s="3">
        <v>2001</v>
      </c>
      <c r="B362" s="3" t="s">
        <v>546</v>
      </c>
      <c r="C362" s="3" t="str">
        <f>VLOOKUP($B362, '[1]HURDAT Query'!$A$1:$F$1030, 3, 0)</f>
        <v>GABRIELLE</v>
      </c>
      <c r="D362" s="3">
        <f>VLOOKUP($B362, '[1]HURDAT Query'!$A$1:$F$1030, 4, 0)</f>
        <v>1</v>
      </c>
      <c r="E362" s="3">
        <f>VLOOKUP($B362, '[1]HURDAT Query'!$A$1:$F$1030, 5, 0)</f>
        <v>70</v>
      </c>
      <c r="F362" s="3">
        <f>VLOOKUP($B362, '[1]HURDAT Query'!$A$1:$F$1030, 6, 0)</f>
        <v>983</v>
      </c>
      <c r="G362" s="3" t="str">
        <f>_xlfn.IFNA(VLOOKUP(B362, '[1]Landfall Stats'!A:G, 7, 0), "No LF")</f>
        <v>NA</v>
      </c>
      <c r="H362" s="3">
        <f>_xlfn.IFNA(VLOOKUP(B362, '[1]Landfall Stats'!A:G, 5, 0), "No LF")</f>
        <v>60</v>
      </c>
      <c r="I362" s="3">
        <f>_xlfn.IFNA(VLOOKUP(B362, '[1]Landfall Stats'!A:G, 6, 0), "No LF")</f>
        <v>983</v>
      </c>
      <c r="J362" s="4" t="s">
        <v>547</v>
      </c>
      <c r="K362" s="3">
        <v>2</v>
      </c>
      <c r="L362" s="3"/>
      <c r="M362" s="3"/>
      <c r="N362" s="3"/>
      <c r="O362" s="3"/>
      <c r="P362" s="3"/>
      <c r="Q362" s="3"/>
      <c r="R362" s="3">
        <v>1</v>
      </c>
      <c r="S362" s="3" t="s">
        <v>308</v>
      </c>
      <c r="T362" s="3">
        <v>1</v>
      </c>
      <c r="U362" s="3" t="s">
        <v>51</v>
      </c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2.75" customHeight="1" x14ac:dyDescent="0.2">
      <c r="A363" s="3">
        <v>2001</v>
      </c>
      <c r="B363" s="3" t="s">
        <v>548</v>
      </c>
      <c r="C363" s="3" t="str">
        <f>VLOOKUP($B363, '[1]HURDAT Query'!$A$1:$F$1030, 3, 0)</f>
        <v>HUMBERTO</v>
      </c>
      <c r="D363" s="3">
        <f>VLOOKUP($B363, '[1]HURDAT Query'!$A$1:$F$1030, 4, 0)</f>
        <v>2</v>
      </c>
      <c r="E363" s="3">
        <f>VLOOKUP($B363, '[1]HURDAT Query'!$A$1:$F$1030, 5, 0)</f>
        <v>90</v>
      </c>
      <c r="F363" s="3">
        <f>VLOOKUP($B363, '[1]HURDAT Query'!$A$1:$F$1030, 6, 0)</f>
        <v>970</v>
      </c>
      <c r="G363" s="3" t="str">
        <f>_xlfn.IFNA(VLOOKUP(B363, '[1]Landfall Stats'!A:G, 7, 0), "No LF")</f>
        <v>No LF</v>
      </c>
      <c r="H363" s="3" t="str">
        <f>_xlfn.IFNA(VLOOKUP(B363, '[1]Landfall Stats'!A:G, 5, 0), "No LF")</f>
        <v>No LF</v>
      </c>
      <c r="I363" s="3" t="str">
        <f>_xlfn.IFNA(VLOOKUP(B363, '[1]Landfall Stats'!A:G, 6, 0), "No LF")</f>
        <v>No LF</v>
      </c>
      <c r="J363" s="4" t="s">
        <v>549</v>
      </c>
      <c r="K363" s="3">
        <v>0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2.75" customHeight="1" x14ac:dyDescent="0.2">
      <c r="A364" s="3">
        <v>2001</v>
      </c>
      <c r="B364" s="3" t="s">
        <v>550</v>
      </c>
      <c r="C364" s="3" t="str">
        <f>VLOOKUP($B364, '[1]HURDAT Query'!$A$1:$F$1030, 3, 0)</f>
        <v>IRIS</v>
      </c>
      <c r="D364" s="3">
        <f>VLOOKUP($B364, '[1]HURDAT Query'!$A$1:$F$1030, 4, 0)</f>
        <v>4</v>
      </c>
      <c r="E364" s="3">
        <f>VLOOKUP($B364, '[1]HURDAT Query'!$A$1:$F$1030, 5, 0)</f>
        <v>125</v>
      </c>
      <c r="F364" s="3">
        <f>VLOOKUP($B364, '[1]HURDAT Query'!$A$1:$F$1030, 6, 0)</f>
        <v>948</v>
      </c>
      <c r="G364" s="3" t="str">
        <f>_xlfn.IFNA(VLOOKUP(B364, '[1]Landfall Stats'!A:G, 7, 0), "No LF")</f>
        <v>No LF</v>
      </c>
      <c r="H364" s="3" t="str">
        <f>_xlfn.IFNA(VLOOKUP(B364, '[1]Landfall Stats'!A:G, 5, 0), "No LF")</f>
        <v>No LF</v>
      </c>
      <c r="I364" s="3" t="str">
        <f>_xlfn.IFNA(VLOOKUP(B364, '[1]Landfall Stats'!A:G, 6, 0), "No LF")</f>
        <v>No LF</v>
      </c>
      <c r="J364" s="4" t="s">
        <v>551</v>
      </c>
      <c r="K364" s="3">
        <v>0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2.75" customHeight="1" x14ac:dyDescent="0.2">
      <c r="A365" s="3">
        <v>2001</v>
      </c>
      <c r="B365" s="3" t="s">
        <v>552</v>
      </c>
      <c r="C365" s="3" t="str">
        <f>VLOOKUP($B365, '[1]HURDAT Query'!$A$1:$F$1030, 3, 0)</f>
        <v>JERRY</v>
      </c>
      <c r="D365" s="3" t="str">
        <f>VLOOKUP($B365, '[1]HURDAT Query'!$A$1:$F$1030, 4, 0)</f>
        <v>NA</v>
      </c>
      <c r="E365" s="3" t="str">
        <f>VLOOKUP($B365, '[1]HURDAT Query'!$A$1:$F$1030, 5, 0)</f>
        <v>NA</v>
      </c>
      <c r="F365" s="3" t="str">
        <f>VLOOKUP($B365, '[1]HURDAT Query'!$A$1:$F$1030, 6, 0)</f>
        <v>NA</v>
      </c>
      <c r="G365" s="3" t="str">
        <f>_xlfn.IFNA(VLOOKUP(B365, '[1]Landfall Stats'!A:G, 7, 0), "No LF")</f>
        <v>No LF</v>
      </c>
      <c r="H365" s="3" t="str">
        <f>_xlfn.IFNA(VLOOKUP(B365, '[1]Landfall Stats'!A:G, 5, 0), "No LF")</f>
        <v>No LF</v>
      </c>
      <c r="I365" s="3" t="str">
        <f>_xlfn.IFNA(VLOOKUP(B365, '[1]Landfall Stats'!A:G, 6, 0), "No LF")</f>
        <v>No LF</v>
      </c>
      <c r="J365" s="4" t="s">
        <v>553</v>
      </c>
      <c r="K365" s="3">
        <v>0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2.75" customHeight="1" x14ac:dyDescent="0.2">
      <c r="A366" s="3">
        <v>2001</v>
      </c>
      <c r="B366" s="3" t="s">
        <v>554</v>
      </c>
      <c r="C366" s="3" t="str">
        <f>VLOOKUP($B366, '[1]HURDAT Query'!$A$1:$F$1030, 3, 0)</f>
        <v>KAREN</v>
      </c>
      <c r="D366" s="3">
        <f>VLOOKUP($B366, '[1]HURDAT Query'!$A$1:$F$1030, 4, 0)</f>
        <v>1</v>
      </c>
      <c r="E366" s="3">
        <f>VLOOKUP($B366, '[1]HURDAT Query'!$A$1:$F$1030, 5, 0)</f>
        <v>70</v>
      </c>
      <c r="F366" s="3">
        <f>VLOOKUP($B366, '[1]HURDAT Query'!$A$1:$F$1030, 6, 0)</f>
        <v>982</v>
      </c>
      <c r="G366" s="3" t="str">
        <f>_xlfn.IFNA(VLOOKUP(B366, '[1]Landfall Stats'!A:G, 7, 0), "No LF")</f>
        <v>No LF</v>
      </c>
      <c r="H366" s="3" t="str">
        <f>_xlfn.IFNA(VLOOKUP(B366, '[1]Landfall Stats'!A:G, 5, 0), "No LF")</f>
        <v>No LF</v>
      </c>
      <c r="I366" s="3" t="str">
        <f>_xlfn.IFNA(VLOOKUP(B366, '[1]Landfall Stats'!A:G, 6, 0), "No LF")</f>
        <v>No LF</v>
      </c>
      <c r="J366" s="4" t="s">
        <v>555</v>
      </c>
      <c r="K366" s="3">
        <v>0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2.75" customHeight="1" x14ac:dyDescent="0.2">
      <c r="A367" s="3">
        <v>2001</v>
      </c>
      <c r="B367" s="3" t="s">
        <v>556</v>
      </c>
      <c r="C367" s="3" t="str">
        <f>VLOOKUP($B367, '[1]HURDAT Query'!$A$1:$F$1030, 3, 0)</f>
        <v>LORENZO</v>
      </c>
      <c r="D367" s="3" t="str">
        <f>VLOOKUP($B367, '[1]HURDAT Query'!$A$1:$F$1030, 4, 0)</f>
        <v>NA</v>
      </c>
      <c r="E367" s="3" t="str">
        <f>VLOOKUP($B367, '[1]HURDAT Query'!$A$1:$F$1030, 5, 0)</f>
        <v>NA</v>
      </c>
      <c r="F367" s="3" t="str">
        <f>VLOOKUP($B367, '[1]HURDAT Query'!$A$1:$F$1030, 6, 0)</f>
        <v>NA</v>
      </c>
      <c r="G367" s="3" t="str">
        <f>_xlfn.IFNA(VLOOKUP(B367, '[1]Landfall Stats'!A:G, 7, 0), "No LF")</f>
        <v>No LF</v>
      </c>
      <c r="H367" s="3" t="str">
        <f>_xlfn.IFNA(VLOOKUP(B367, '[1]Landfall Stats'!A:G, 5, 0), "No LF")</f>
        <v>No LF</v>
      </c>
      <c r="I367" s="3" t="str">
        <f>_xlfn.IFNA(VLOOKUP(B367, '[1]Landfall Stats'!A:G, 6, 0), "No LF")</f>
        <v>No LF</v>
      </c>
      <c r="J367" s="4" t="s">
        <v>557</v>
      </c>
      <c r="K367" s="3">
        <v>0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2.75" customHeight="1" x14ac:dyDescent="0.2">
      <c r="A368" s="3">
        <v>2001</v>
      </c>
      <c r="B368" s="3" t="s">
        <v>558</v>
      </c>
      <c r="C368" s="3" t="str">
        <f>VLOOKUP($B368, '[1]HURDAT Query'!$A$1:$F$1030, 3, 0)</f>
        <v>MICHELLE</v>
      </c>
      <c r="D368" s="3">
        <f>VLOOKUP($B368, '[1]HURDAT Query'!$A$1:$F$1030, 4, 0)</f>
        <v>4</v>
      </c>
      <c r="E368" s="3">
        <f>VLOOKUP($B368, '[1]HURDAT Query'!$A$1:$F$1030, 5, 0)</f>
        <v>120</v>
      </c>
      <c r="F368" s="3">
        <f>VLOOKUP($B368, '[1]HURDAT Query'!$A$1:$F$1030, 6, 0)</f>
        <v>933</v>
      </c>
      <c r="G368" s="3" t="str">
        <f>_xlfn.IFNA(VLOOKUP(B368, '[1]Landfall Stats'!A:G, 7, 0), "No LF")</f>
        <v>No LF</v>
      </c>
      <c r="H368" s="3" t="str">
        <f>_xlfn.IFNA(VLOOKUP(B368, '[1]Landfall Stats'!A:G, 5, 0), "No LF")</f>
        <v>No LF</v>
      </c>
      <c r="I368" s="3" t="str">
        <f>_xlfn.IFNA(VLOOKUP(B368, '[1]Landfall Stats'!A:G, 6, 0), "No LF")</f>
        <v>No LF</v>
      </c>
      <c r="J368" s="4" t="s">
        <v>559</v>
      </c>
      <c r="K368" s="3">
        <v>0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2.75" customHeight="1" x14ac:dyDescent="0.2">
      <c r="A369" s="3">
        <v>2001</v>
      </c>
      <c r="B369" s="3" t="s">
        <v>560</v>
      </c>
      <c r="C369" s="3" t="str">
        <f>VLOOKUP($B369, '[1]HURDAT Query'!$A$1:$F$1030, 3, 0)</f>
        <v>NOEL</v>
      </c>
      <c r="D369" s="3">
        <f>VLOOKUP($B369, '[1]HURDAT Query'!$A$1:$F$1030, 4, 0)</f>
        <v>1</v>
      </c>
      <c r="E369" s="3">
        <f>VLOOKUP($B369, '[1]HURDAT Query'!$A$1:$F$1030, 5, 0)</f>
        <v>65</v>
      </c>
      <c r="F369" s="3">
        <f>VLOOKUP($B369, '[1]HURDAT Query'!$A$1:$F$1030, 6, 0)</f>
        <v>986</v>
      </c>
      <c r="G369" s="3" t="str">
        <f>_xlfn.IFNA(VLOOKUP(B369, '[1]Landfall Stats'!A:G, 7, 0), "No LF")</f>
        <v>No LF</v>
      </c>
      <c r="H369" s="3" t="str">
        <f>_xlfn.IFNA(VLOOKUP(B369, '[1]Landfall Stats'!A:G, 5, 0), "No LF")</f>
        <v>No LF</v>
      </c>
      <c r="I369" s="3" t="str">
        <f>_xlfn.IFNA(VLOOKUP(B369, '[1]Landfall Stats'!A:G, 6, 0), "No LF")</f>
        <v>No LF</v>
      </c>
      <c r="J369" s="4" t="s">
        <v>561</v>
      </c>
      <c r="K369" s="3">
        <v>0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2.75" customHeight="1" x14ac:dyDescent="0.2">
      <c r="A370" s="3">
        <v>2001</v>
      </c>
      <c r="B370" s="3" t="s">
        <v>562</v>
      </c>
      <c r="C370" s="3" t="str">
        <f>VLOOKUP($B370, '[1]HURDAT Query'!$A$1:$F$1030, 3, 0)</f>
        <v>OLGA</v>
      </c>
      <c r="D370" s="3">
        <f>VLOOKUP($B370, '[1]HURDAT Query'!$A$1:$F$1030, 4, 0)</f>
        <v>1</v>
      </c>
      <c r="E370" s="3">
        <f>VLOOKUP($B370, '[1]HURDAT Query'!$A$1:$F$1030, 5, 0)</f>
        <v>80</v>
      </c>
      <c r="F370" s="3">
        <f>VLOOKUP($B370, '[1]HURDAT Query'!$A$1:$F$1030, 6, 0)</f>
        <v>973</v>
      </c>
      <c r="G370" s="3" t="str">
        <f>_xlfn.IFNA(VLOOKUP(B370, '[1]Landfall Stats'!A:G, 7, 0), "No LF")</f>
        <v>No LF</v>
      </c>
      <c r="H370" s="3" t="str">
        <f>_xlfn.IFNA(VLOOKUP(B370, '[1]Landfall Stats'!A:G, 5, 0), "No LF")</f>
        <v>No LF</v>
      </c>
      <c r="I370" s="3" t="str">
        <f>_xlfn.IFNA(VLOOKUP(B370, '[1]Landfall Stats'!A:G, 6, 0), "No LF")</f>
        <v>No LF</v>
      </c>
      <c r="J370" s="4" t="s">
        <v>563</v>
      </c>
      <c r="K370" s="3">
        <v>0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2.75" customHeight="1" x14ac:dyDescent="0.2">
      <c r="A371" s="3">
        <v>2002</v>
      </c>
      <c r="B371" s="3" t="s">
        <v>564</v>
      </c>
      <c r="C371" s="3" t="str">
        <f>VLOOKUP($B371, '[1]HURDAT Query'!$A$1:$F$1030, 3, 0)</f>
        <v>ARTHUR</v>
      </c>
      <c r="D371" s="3" t="str">
        <f>VLOOKUP($B371, '[1]HURDAT Query'!$A$1:$F$1030, 4, 0)</f>
        <v>NA</v>
      </c>
      <c r="E371" s="3" t="str">
        <f>VLOOKUP($B371, '[1]HURDAT Query'!$A$1:$F$1030, 5, 0)</f>
        <v>NA</v>
      </c>
      <c r="F371" s="3" t="str">
        <f>VLOOKUP($B371, '[1]HURDAT Query'!$A$1:$F$1030, 6, 0)</f>
        <v>NA</v>
      </c>
      <c r="G371" s="3" t="str">
        <f>_xlfn.IFNA(VLOOKUP(B371, '[1]Landfall Stats'!A:G, 7, 0), "No LF")</f>
        <v>No LF</v>
      </c>
      <c r="H371" s="3" t="str">
        <f>_xlfn.IFNA(VLOOKUP(B371, '[1]Landfall Stats'!A:G, 5, 0), "No LF")</f>
        <v>No LF</v>
      </c>
      <c r="I371" s="3" t="str">
        <f>_xlfn.IFNA(VLOOKUP(B371, '[1]Landfall Stats'!A:G, 6, 0), "No LF")</f>
        <v>No LF</v>
      </c>
      <c r="J371" s="4" t="s">
        <v>565</v>
      </c>
      <c r="K371" s="3">
        <v>0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2.75" customHeight="1" x14ac:dyDescent="0.2">
      <c r="A372" s="3">
        <v>2002</v>
      </c>
      <c r="B372" s="3" t="s">
        <v>566</v>
      </c>
      <c r="C372" s="3" t="str">
        <f>VLOOKUP($B372, '[1]HURDAT Query'!$A$1:$F$1030, 3, 0)</f>
        <v>BERTHA</v>
      </c>
      <c r="D372" s="3" t="str">
        <f>VLOOKUP($B372, '[1]HURDAT Query'!$A$1:$F$1030, 4, 0)</f>
        <v>NA</v>
      </c>
      <c r="E372" s="3" t="str">
        <f>VLOOKUP($B372, '[1]HURDAT Query'!$A$1:$F$1030, 5, 0)</f>
        <v>NA</v>
      </c>
      <c r="F372" s="3" t="str">
        <f>VLOOKUP($B372, '[1]HURDAT Query'!$A$1:$F$1030, 6, 0)</f>
        <v>NA</v>
      </c>
      <c r="G372" s="3" t="str">
        <f>_xlfn.IFNA(VLOOKUP(B372, '[1]Landfall Stats'!A:G, 7, 0), "No LF")</f>
        <v>No LF</v>
      </c>
      <c r="H372" s="3" t="str">
        <f>_xlfn.IFNA(VLOOKUP(B372, '[1]Landfall Stats'!A:G, 5, 0), "No LF")</f>
        <v>No LF</v>
      </c>
      <c r="I372" s="3" t="str">
        <f>_xlfn.IFNA(VLOOKUP(B372, '[1]Landfall Stats'!A:G, 6, 0), "No LF")</f>
        <v>No LF</v>
      </c>
      <c r="J372" s="4" t="s">
        <v>567</v>
      </c>
      <c r="K372" s="3">
        <v>1</v>
      </c>
      <c r="L372" s="3"/>
      <c r="M372" s="3"/>
      <c r="N372" s="3">
        <v>1</v>
      </c>
      <c r="O372" s="3" t="s">
        <v>42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2.75" customHeight="1" x14ac:dyDescent="0.2">
      <c r="A373" s="3">
        <v>2002</v>
      </c>
      <c r="B373" s="3" t="s">
        <v>568</v>
      </c>
      <c r="C373" s="3" t="str">
        <f>VLOOKUP($B373, '[1]HURDAT Query'!$A$1:$F$1030, 3, 0)</f>
        <v>CRISTOBAL</v>
      </c>
      <c r="D373" s="3" t="str">
        <f>VLOOKUP($B373, '[1]HURDAT Query'!$A$1:$F$1030, 4, 0)</f>
        <v>NA</v>
      </c>
      <c r="E373" s="3" t="str">
        <f>VLOOKUP($B373, '[1]HURDAT Query'!$A$1:$F$1030, 5, 0)</f>
        <v>NA</v>
      </c>
      <c r="F373" s="3" t="str">
        <f>VLOOKUP($B373, '[1]HURDAT Query'!$A$1:$F$1030, 6, 0)</f>
        <v>NA</v>
      </c>
      <c r="G373" s="3" t="str">
        <f>_xlfn.IFNA(VLOOKUP(B373, '[1]Landfall Stats'!A:G, 7, 0), "No LF")</f>
        <v>No LF</v>
      </c>
      <c r="H373" s="3" t="str">
        <f>_xlfn.IFNA(VLOOKUP(B373, '[1]Landfall Stats'!A:G, 5, 0), "No LF")</f>
        <v>No LF</v>
      </c>
      <c r="I373" s="3" t="str">
        <f>_xlfn.IFNA(VLOOKUP(B373, '[1]Landfall Stats'!A:G, 6, 0), "No LF")</f>
        <v>No LF</v>
      </c>
      <c r="J373" s="4" t="s">
        <v>569</v>
      </c>
      <c r="K373" s="3">
        <v>0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2.75" customHeight="1" x14ac:dyDescent="0.2">
      <c r="A374" s="3">
        <v>2002</v>
      </c>
      <c r="B374" s="3" t="s">
        <v>570</v>
      </c>
      <c r="C374" s="3" t="str">
        <f>VLOOKUP($B374, '[1]HURDAT Query'!$A$1:$F$1030, 3, 0)</f>
        <v>DOLLY</v>
      </c>
      <c r="D374" s="3" t="str">
        <f>VLOOKUP($B374, '[1]HURDAT Query'!$A$1:$F$1030, 4, 0)</f>
        <v>NA</v>
      </c>
      <c r="E374" s="3" t="str">
        <f>VLOOKUP($B374, '[1]HURDAT Query'!$A$1:$F$1030, 5, 0)</f>
        <v>NA</v>
      </c>
      <c r="F374" s="3" t="str">
        <f>VLOOKUP($B374, '[1]HURDAT Query'!$A$1:$F$1030, 6, 0)</f>
        <v>NA</v>
      </c>
      <c r="G374" s="3" t="str">
        <f>_xlfn.IFNA(VLOOKUP(B374, '[1]Landfall Stats'!A:G, 7, 0), "No LF")</f>
        <v>No LF</v>
      </c>
      <c r="H374" s="3" t="str">
        <f>_xlfn.IFNA(VLOOKUP(B374, '[1]Landfall Stats'!A:G, 5, 0), "No LF")</f>
        <v>No LF</v>
      </c>
      <c r="I374" s="3" t="str">
        <f>_xlfn.IFNA(VLOOKUP(B374, '[1]Landfall Stats'!A:G, 6, 0), "No LF")</f>
        <v>No LF</v>
      </c>
      <c r="J374" s="4" t="s">
        <v>571</v>
      </c>
      <c r="K374" s="3">
        <v>0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2.75" customHeight="1" x14ac:dyDescent="0.2">
      <c r="A375" s="3">
        <v>2002</v>
      </c>
      <c r="B375" s="3" t="s">
        <v>572</v>
      </c>
      <c r="C375" s="3" t="str">
        <f>VLOOKUP($B375, '[1]HURDAT Query'!$A$1:$F$1030, 3, 0)</f>
        <v>EDOUARD</v>
      </c>
      <c r="D375" s="3" t="str">
        <f>VLOOKUP($B375, '[1]HURDAT Query'!$A$1:$F$1030, 4, 0)</f>
        <v>NA</v>
      </c>
      <c r="E375" s="3" t="str">
        <f>VLOOKUP($B375, '[1]HURDAT Query'!$A$1:$F$1030, 5, 0)</f>
        <v>NA</v>
      </c>
      <c r="F375" s="3" t="str">
        <f>VLOOKUP($B375, '[1]HURDAT Query'!$A$1:$F$1030, 6, 0)</f>
        <v>NA</v>
      </c>
      <c r="G375" s="3" t="str">
        <f>_xlfn.IFNA(VLOOKUP(B375, '[1]Landfall Stats'!A:G, 7, 0), "No LF")</f>
        <v>No LF</v>
      </c>
      <c r="H375" s="3" t="str">
        <f>_xlfn.IFNA(VLOOKUP(B375, '[1]Landfall Stats'!A:G, 5, 0), "No LF")</f>
        <v>No LF</v>
      </c>
      <c r="I375" s="3" t="str">
        <f>_xlfn.IFNA(VLOOKUP(B375, '[1]Landfall Stats'!A:G, 6, 0), "No LF")</f>
        <v>No LF</v>
      </c>
      <c r="J375" s="4" t="s">
        <v>573</v>
      </c>
      <c r="K375" s="3">
        <v>0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2.75" customHeight="1" x14ac:dyDescent="0.2">
      <c r="A376" s="3">
        <v>2002</v>
      </c>
      <c r="B376" s="3" t="s">
        <v>574</v>
      </c>
      <c r="C376" s="3" t="str">
        <f>VLOOKUP($B376, '[1]HURDAT Query'!$A$1:$F$1030, 3, 0)</f>
        <v>FAY</v>
      </c>
      <c r="D376" s="3" t="str">
        <f>VLOOKUP($B376, '[1]HURDAT Query'!$A$1:$F$1030, 4, 0)</f>
        <v>NA</v>
      </c>
      <c r="E376" s="3" t="str">
        <f>VLOOKUP($B376, '[1]HURDAT Query'!$A$1:$F$1030, 5, 0)</f>
        <v>NA</v>
      </c>
      <c r="F376" s="3" t="str">
        <f>VLOOKUP($B376, '[1]HURDAT Query'!$A$1:$F$1030, 6, 0)</f>
        <v>NA</v>
      </c>
      <c r="G376" s="3" t="str">
        <f>_xlfn.IFNA(VLOOKUP(B376, '[1]Landfall Stats'!A:G, 7, 0), "No LF")</f>
        <v>No LF</v>
      </c>
      <c r="H376" s="3" t="str">
        <f>_xlfn.IFNA(VLOOKUP(B376, '[1]Landfall Stats'!A:G, 5, 0), "No LF")</f>
        <v>No LF</v>
      </c>
      <c r="I376" s="3" t="str">
        <f>_xlfn.IFNA(VLOOKUP(B376, '[1]Landfall Stats'!A:G, 6, 0), "No LF")</f>
        <v>No LF</v>
      </c>
      <c r="J376" s="4" t="s">
        <v>575</v>
      </c>
      <c r="K376" s="3">
        <v>0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2.75" customHeight="1" x14ac:dyDescent="0.2">
      <c r="A377" s="3">
        <v>2002</v>
      </c>
      <c r="B377" s="3" t="s">
        <v>576</v>
      </c>
      <c r="C377" s="3" t="str">
        <f>VLOOKUP($B377, '[1]HURDAT Query'!$A$1:$F$1030, 3, 0)</f>
        <v>GUSTAV</v>
      </c>
      <c r="D377" s="3">
        <f>VLOOKUP($B377, '[1]HURDAT Query'!$A$1:$F$1030, 4, 0)</f>
        <v>2</v>
      </c>
      <c r="E377" s="3">
        <f>VLOOKUP($B377, '[1]HURDAT Query'!$A$1:$F$1030, 5, 0)</f>
        <v>85</v>
      </c>
      <c r="F377" s="3">
        <f>VLOOKUP($B377, '[1]HURDAT Query'!$A$1:$F$1030, 6, 0)</f>
        <v>960</v>
      </c>
      <c r="G377" s="3" t="str">
        <f>_xlfn.IFNA(VLOOKUP(B377, '[1]Landfall Stats'!A:G, 7, 0), "No LF")</f>
        <v>No LF</v>
      </c>
      <c r="H377" s="3" t="str">
        <f>_xlfn.IFNA(VLOOKUP(B377, '[1]Landfall Stats'!A:G, 5, 0), "No LF")</f>
        <v>No LF</v>
      </c>
      <c r="I377" s="3" t="str">
        <f>_xlfn.IFNA(VLOOKUP(B377, '[1]Landfall Stats'!A:G, 6, 0), "No LF")</f>
        <v>No LF</v>
      </c>
      <c r="J377" s="4" t="s">
        <v>577</v>
      </c>
      <c r="K377" s="3">
        <v>1</v>
      </c>
      <c r="L377" s="3"/>
      <c r="M377" s="3"/>
      <c r="N377" s="3">
        <v>1</v>
      </c>
      <c r="O377" s="3" t="s">
        <v>310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2.75" customHeight="1" x14ac:dyDescent="0.2">
      <c r="A378" s="3">
        <v>2002</v>
      </c>
      <c r="B378" s="3" t="s">
        <v>578</v>
      </c>
      <c r="C378" s="3" t="str">
        <f>VLOOKUP($B378, '[1]HURDAT Query'!$A$1:$F$1030, 3, 0)</f>
        <v>HANNA</v>
      </c>
      <c r="D378" s="3" t="str">
        <f>VLOOKUP($B378, '[1]HURDAT Query'!$A$1:$F$1030, 4, 0)</f>
        <v>NA</v>
      </c>
      <c r="E378" s="3" t="str">
        <f>VLOOKUP($B378, '[1]HURDAT Query'!$A$1:$F$1030, 5, 0)</f>
        <v>NA</v>
      </c>
      <c r="F378" s="3" t="str">
        <f>VLOOKUP($B378, '[1]HURDAT Query'!$A$1:$F$1030, 6, 0)</f>
        <v>NA</v>
      </c>
      <c r="G378" s="3" t="str">
        <f>_xlfn.IFNA(VLOOKUP(B378, '[1]Landfall Stats'!A:G, 7, 0), "No LF")</f>
        <v>NA</v>
      </c>
      <c r="H378" s="3">
        <f>_xlfn.IFNA(VLOOKUP(B378, '[1]Landfall Stats'!A:G, 5, 0), "No LF")</f>
        <v>50</v>
      </c>
      <c r="I378" s="3">
        <f>_xlfn.IFNA(VLOOKUP(B378, '[1]Landfall Stats'!A:G, 6, 0), "No LF")</f>
        <v>1002</v>
      </c>
      <c r="J378" s="4" t="s">
        <v>579</v>
      </c>
      <c r="K378" s="3">
        <v>3</v>
      </c>
      <c r="L378" s="3"/>
      <c r="M378" s="3"/>
      <c r="N378" s="3">
        <v>1</v>
      </c>
      <c r="O378" s="3" t="s">
        <v>51</v>
      </c>
      <c r="P378" s="3"/>
      <c r="Q378" s="3"/>
      <c r="R378" s="3">
        <v>2</v>
      </c>
      <c r="S378" s="3" t="s">
        <v>51</v>
      </c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2.75" customHeight="1" x14ac:dyDescent="0.2">
      <c r="A379" s="3">
        <v>2002</v>
      </c>
      <c r="B379" s="3" t="s">
        <v>580</v>
      </c>
      <c r="C379" s="3" t="str">
        <f>VLOOKUP($B379, '[1]HURDAT Query'!$A$1:$F$1030, 3, 0)</f>
        <v>ISIDORE</v>
      </c>
      <c r="D379" s="3">
        <f>VLOOKUP($B379, '[1]HURDAT Query'!$A$1:$F$1030, 4, 0)</f>
        <v>3</v>
      </c>
      <c r="E379" s="3">
        <f>VLOOKUP($B379, '[1]HURDAT Query'!$A$1:$F$1030, 5, 0)</f>
        <v>110</v>
      </c>
      <c r="F379" s="3">
        <f>VLOOKUP($B379, '[1]HURDAT Query'!$A$1:$F$1030, 6, 0)</f>
        <v>934</v>
      </c>
      <c r="G379" s="3" t="str">
        <f>_xlfn.IFNA(VLOOKUP(B379, '[1]Landfall Stats'!A:G, 7, 0), "No LF")</f>
        <v>NA</v>
      </c>
      <c r="H379" s="3">
        <f>_xlfn.IFNA(VLOOKUP(B379, '[1]Landfall Stats'!A:G, 5, 0), "No LF")</f>
        <v>55</v>
      </c>
      <c r="I379" s="3">
        <f>_xlfn.IFNA(VLOOKUP(B379, '[1]Landfall Stats'!A:G, 6, 0), "No LF")</f>
        <v>984</v>
      </c>
      <c r="J379" s="4" t="s">
        <v>581</v>
      </c>
      <c r="K379" s="3">
        <v>5</v>
      </c>
      <c r="L379" s="3">
        <v>1</v>
      </c>
      <c r="M379" s="3" t="s">
        <v>103</v>
      </c>
      <c r="N379" s="3">
        <v>1</v>
      </c>
      <c r="O379" s="3" t="s">
        <v>51</v>
      </c>
      <c r="P379" s="3"/>
      <c r="Q379" s="3"/>
      <c r="R379" s="3">
        <v>1</v>
      </c>
      <c r="S379" s="3" t="s">
        <v>37</v>
      </c>
      <c r="T379" s="3">
        <v>1</v>
      </c>
      <c r="U379" s="3" t="s">
        <v>582</v>
      </c>
      <c r="V379" s="3"/>
      <c r="W379" s="3"/>
      <c r="X379" s="3">
        <v>1</v>
      </c>
      <c r="Y379" s="3" t="s">
        <v>103</v>
      </c>
      <c r="Z379" s="3"/>
      <c r="AA379" s="3"/>
      <c r="AB379" s="3"/>
      <c r="AC379" s="3"/>
      <c r="AD379" s="3"/>
      <c r="AE379" s="3"/>
    </row>
    <row r="380" spans="1:31" ht="12.75" customHeight="1" x14ac:dyDescent="0.2">
      <c r="A380" s="3">
        <v>2002</v>
      </c>
      <c r="B380" s="3" t="s">
        <v>583</v>
      </c>
      <c r="C380" s="3" t="str">
        <f>VLOOKUP($B380, '[1]HURDAT Query'!$A$1:$F$1030, 3, 0)</f>
        <v>JOSEPHINE</v>
      </c>
      <c r="D380" s="3" t="str">
        <f>VLOOKUP($B380, '[1]HURDAT Query'!$A$1:$F$1030, 4, 0)</f>
        <v>NA</v>
      </c>
      <c r="E380" s="3" t="str">
        <f>VLOOKUP($B380, '[1]HURDAT Query'!$A$1:$F$1030, 5, 0)</f>
        <v>NA</v>
      </c>
      <c r="F380" s="3" t="str">
        <f>VLOOKUP($B380, '[1]HURDAT Query'!$A$1:$F$1030, 6, 0)</f>
        <v>NA</v>
      </c>
      <c r="G380" s="3" t="str">
        <f>_xlfn.IFNA(VLOOKUP(B380, '[1]Landfall Stats'!A:G, 7, 0), "No LF")</f>
        <v>No LF</v>
      </c>
      <c r="H380" s="3" t="str">
        <f>_xlfn.IFNA(VLOOKUP(B380, '[1]Landfall Stats'!A:G, 5, 0), "No LF")</f>
        <v>No LF</v>
      </c>
      <c r="I380" s="3" t="str">
        <f>_xlfn.IFNA(VLOOKUP(B380, '[1]Landfall Stats'!A:G, 6, 0), "No LF")</f>
        <v>No LF</v>
      </c>
      <c r="J380" s="4" t="s">
        <v>584</v>
      </c>
      <c r="K380" s="3">
        <v>0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2.75" customHeight="1" x14ac:dyDescent="0.2">
      <c r="A381" s="3">
        <v>2002</v>
      </c>
      <c r="B381" s="3" t="s">
        <v>585</v>
      </c>
      <c r="C381" s="3" t="str">
        <f>VLOOKUP($B381, '[1]HURDAT Query'!$A$1:$F$1030, 3, 0)</f>
        <v>KYLE</v>
      </c>
      <c r="D381" s="3">
        <f>VLOOKUP($B381, '[1]HURDAT Query'!$A$1:$F$1030, 4, 0)</f>
        <v>1</v>
      </c>
      <c r="E381" s="3">
        <f>VLOOKUP($B381, '[1]HURDAT Query'!$A$1:$F$1030, 5, 0)</f>
        <v>75</v>
      </c>
      <c r="F381" s="3">
        <f>VLOOKUP($B381, '[1]HURDAT Query'!$A$1:$F$1030, 6, 0)</f>
        <v>980</v>
      </c>
      <c r="G381" s="3" t="str">
        <f>_xlfn.IFNA(VLOOKUP(B381, '[1]Landfall Stats'!A:G, 7, 0), "No LF")</f>
        <v>No LF</v>
      </c>
      <c r="H381" s="3" t="str">
        <f>_xlfn.IFNA(VLOOKUP(B381, '[1]Landfall Stats'!A:G, 5, 0), "No LF")</f>
        <v>No LF</v>
      </c>
      <c r="I381" s="3" t="str">
        <f>_xlfn.IFNA(VLOOKUP(B381, '[1]Landfall Stats'!A:G, 6, 0), "No LF")</f>
        <v>No LF</v>
      </c>
      <c r="J381" s="4" t="s">
        <v>586</v>
      </c>
      <c r="K381" s="3">
        <v>0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2.75" customHeight="1" x14ac:dyDescent="0.2">
      <c r="A382" s="3">
        <v>2002</v>
      </c>
      <c r="B382" s="3" t="s">
        <v>587</v>
      </c>
      <c r="C382" s="3" t="str">
        <f>VLOOKUP($B382, '[1]HURDAT Query'!$A$1:$F$1030, 3, 0)</f>
        <v>LILI</v>
      </c>
      <c r="D382" s="3">
        <f>VLOOKUP($B382, '[1]HURDAT Query'!$A$1:$F$1030, 4, 0)</f>
        <v>4</v>
      </c>
      <c r="E382" s="3">
        <f>VLOOKUP($B382, '[1]HURDAT Query'!$A$1:$F$1030, 5, 0)</f>
        <v>125</v>
      </c>
      <c r="F382" s="3">
        <f>VLOOKUP($B382, '[1]HURDAT Query'!$A$1:$F$1030, 6, 0)</f>
        <v>938</v>
      </c>
      <c r="G382" s="3" t="str">
        <f>_xlfn.IFNA(VLOOKUP(B382, '[1]Landfall Stats'!A:G, 7, 0), "No LF")</f>
        <v>No LF</v>
      </c>
      <c r="H382" s="3" t="str">
        <f>_xlfn.IFNA(VLOOKUP(B382, '[1]Landfall Stats'!A:G, 5, 0), "No LF")</f>
        <v>No LF</v>
      </c>
      <c r="I382" s="3" t="str">
        <f>_xlfn.IFNA(VLOOKUP(B382, '[1]Landfall Stats'!A:G, 6, 0), "No LF")</f>
        <v>No LF</v>
      </c>
      <c r="J382" s="4" t="s">
        <v>588</v>
      </c>
      <c r="K382" s="3">
        <v>0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2.75" customHeight="1" x14ac:dyDescent="0.2">
      <c r="A383" s="3">
        <v>2003</v>
      </c>
      <c r="B383" s="3" t="s">
        <v>589</v>
      </c>
      <c r="C383" s="3" t="str">
        <f>VLOOKUP($B383, '[1]HURDAT Query'!$A$1:$F$1030, 3, 0)</f>
        <v>ANA</v>
      </c>
      <c r="D383" s="3" t="str">
        <f>VLOOKUP($B383, '[1]HURDAT Query'!$A$1:$F$1030, 4, 0)</f>
        <v>NA</v>
      </c>
      <c r="E383" s="3" t="str">
        <f>VLOOKUP($B383, '[1]HURDAT Query'!$A$1:$F$1030, 5, 0)</f>
        <v>NA</v>
      </c>
      <c r="F383" s="3" t="str">
        <f>VLOOKUP($B383, '[1]HURDAT Query'!$A$1:$F$1030, 6, 0)</f>
        <v>NA</v>
      </c>
      <c r="G383" s="3" t="str">
        <f>_xlfn.IFNA(VLOOKUP(B383, '[1]Landfall Stats'!A:G, 7, 0), "No LF")</f>
        <v>No LF</v>
      </c>
      <c r="H383" s="3" t="str">
        <f>_xlfn.IFNA(VLOOKUP(B383, '[1]Landfall Stats'!A:G, 5, 0), "No LF")</f>
        <v>No LF</v>
      </c>
      <c r="I383" s="3" t="str">
        <f>_xlfn.IFNA(VLOOKUP(B383, '[1]Landfall Stats'!A:G, 6, 0), "No LF")</f>
        <v>No LF</v>
      </c>
      <c r="J383" s="4" t="s">
        <v>590</v>
      </c>
      <c r="K383" s="3">
        <v>2</v>
      </c>
      <c r="L383" s="3"/>
      <c r="M383" s="3"/>
      <c r="N383" s="3"/>
      <c r="O383" s="3"/>
      <c r="P383" s="3">
        <v>2</v>
      </c>
      <c r="Q383" s="3" t="s">
        <v>51</v>
      </c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2.75" customHeight="1" x14ac:dyDescent="0.2">
      <c r="A384" s="3">
        <v>2003</v>
      </c>
      <c r="B384" s="3" t="s">
        <v>591</v>
      </c>
      <c r="C384" s="3" t="str">
        <f>VLOOKUP($B384, '[1]HURDAT Query'!$A$1:$F$1030, 3, 0)</f>
        <v>BILL</v>
      </c>
      <c r="D384" s="3" t="str">
        <f>VLOOKUP($B384, '[1]HURDAT Query'!$A$1:$F$1030, 4, 0)</f>
        <v>NA</v>
      </c>
      <c r="E384" s="3" t="str">
        <f>VLOOKUP($B384, '[1]HURDAT Query'!$A$1:$F$1030, 5, 0)</f>
        <v>NA</v>
      </c>
      <c r="F384" s="3" t="str">
        <f>VLOOKUP($B384, '[1]HURDAT Query'!$A$1:$F$1030, 6, 0)</f>
        <v>NA</v>
      </c>
      <c r="G384" s="3" t="str">
        <f>_xlfn.IFNA(VLOOKUP(B384, '[1]Landfall Stats'!A:G, 7, 0), "No LF")</f>
        <v>NA</v>
      </c>
      <c r="H384" s="3">
        <f>_xlfn.IFNA(VLOOKUP(B384, '[1]Landfall Stats'!A:G, 5, 0), "No LF")</f>
        <v>50</v>
      </c>
      <c r="I384" s="3">
        <f>_xlfn.IFNA(VLOOKUP(B384, '[1]Landfall Stats'!A:G, 6, 0), "No LF")</f>
        <v>997</v>
      </c>
      <c r="J384" s="4" t="s">
        <v>592</v>
      </c>
      <c r="K384" s="3">
        <v>4</v>
      </c>
      <c r="L384" s="3"/>
      <c r="M384" s="3"/>
      <c r="N384" s="3"/>
      <c r="O384" s="3"/>
      <c r="P384" s="3"/>
      <c r="Q384" s="3"/>
      <c r="R384" s="3">
        <v>2</v>
      </c>
      <c r="S384" s="3" t="s">
        <v>51</v>
      </c>
      <c r="T384" s="3">
        <v>1</v>
      </c>
      <c r="U384" s="3" t="s">
        <v>290</v>
      </c>
      <c r="V384" s="3"/>
      <c r="W384" s="3"/>
      <c r="X384" s="3">
        <v>1</v>
      </c>
      <c r="Y384" s="3" t="s">
        <v>593</v>
      </c>
      <c r="Z384" s="3"/>
      <c r="AA384" s="3"/>
      <c r="AB384" s="3"/>
      <c r="AC384" s="3"/>
      <c r="AD384" s="3"/>
      <c r="AE384" s="3"/>
    </row>
    <row r="385" spans="1:31" ht="12.75" customHeight="1" x14ac:dyDescent="0.2">
      <c r="A385" s="3">
        <v>2003</v>
      </c>
      <c r="B385" s="3" t="s">
        <v>594</v>
      </c>
      <c r="C385" s="3" t="str">
        <f>VLOOKUP($B385, '[1]HURDAT Query'!$A$1:$F$1030, 3, 0)</f>
        <v>CLAUDETTE</v>
      </c>
      <c r="D385" s="3">
        <f>VLOOKUP($B385, '[1]HURDAT Query'!$A$1:$F$1030, 4, 0)</f>
        <v>1</v>
      </c>
      <c r="E385" s="3">
        <f>VLOOKUP($B385, '[1]HURDAT Query'!$A$1:$F$1030, 5, 0)</f>
        <v>80</v>
      </c>
      <c r="F385" s="3">
        <f>VLOOKUP($B385, '[1]HURDAT Query'!$A$1:$F$1030, 6, 0)</f>
        <v>979</v>
      </c>
      <c r="G385" s="3" t="str">
        <f>_xlfn.IFNA(VLOOKUP(B385, '[1]Landfall Stats'!A:G, 7, 0), "No LF")</f>
        <v>NA</v>
      </c>
      <c r="H385" s="3">
        <f>_xlfn.IFNA(VLOOKUP(B385, '[1]Landfall Stats'!A:G, 5, 0), "No LF")</f>
        <v>35</v>
      </c>
      <c r="I385" s="3">
        <f>_xlfn.IFNA(VLOOKUP(B385, '[1]Landfall Stats'!A:G, 6, 0), "No LF")</f>
        <v>1007</v>
      </c>
      <c r="J385" s="4" t="s">
        <v>595</v>
      </c>
      <c r="K385" s="3">
        <v>1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>
        <v>1</v>
      </c>
      <c r="Y385" s="3" t="s">
        <v>38</v>
      </c>
      <c r="Z385" s="3"/>
      <c r="AA385" s="3"/>
      <c r="AB385" s="3"/>
      <c r="AC385" s="3"/>
      <c r="AD385" s="3"/>
      <c r="AE385" s="3"/>
    </row>
    <row r="386" spans="1:31" ht="12.75" customHeight="1" x14ac:dyDescent="0.2">
      <c r="A386" s="3">
        <v>2003</v>
      </c>
      <c r="B386" s="3" t="s">
        <v>596</v>
      </c>
      <c r="C386" s="3" t="str">
        <f>VLOOKUP($B386, '[1]HURDAT Query'!$A$1:$F$1030, 3, 0)</f>
        <v>DANNY</v>
      </c>
      <c r="D386" s="3">
        <f>VLOOKUP($B386, '[1]HURDAT Query'!$A$1:$F$1030, 4, 0)</f>
        <v>1</v>
      </c>
      <c r="E386" s="3">
        <f>VLOOKUP($B386, '[1]HURDAT Query'!$A$1:$F$1030, 5, 0)</f>
        <v>65</v>
      </c>
      <c r="F386" s="3">
        <f>VLOOKUP($B386, '[1]HURDAT Query'!$A$1:$F$1030, 6, 0)</f>
        <v>1000</v>
      </c>
      <c r="G386" s="3" t="str">
        <f>_xlfn.IFNA(VLOOKUP(B386, '[1]Landfall Stats'!A:G, 7, 0), "No LF")</f>
        <v>No LF</v>
      </c>
      <c r="H386" s="3" t="str">
        <f>_xlfn.IFNA(VLOOKUP(B386, '[1]Landfall Stats'!A:G, 5, 0), "No LF")</f>
        <v>No LF</v>
      </c>
      <c r="I386" s="3" t="str">
        <f>_xlfn.IFNA(VLOOKUP(B386, '[1]Landfall Stats'!A:G, 6, 0), "No LF")</f>
        <v>No LF</v>
      </c>
      <c r="J386" s="4" t="s">
        <v>597</v>
      </c>
      <c r="K386" s="3">
        <v>0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2.75" customHeight="1" x14ac:dyDescent="0.2">
      <c r="A387" s="3">
        <v>2003</v>
      </c>
      <c r="B387" s="3" t="s">
        <v>598</v>
      </c>
      <c r="C387" s="3" t="str">
        <f>VLOOKUP($B387, '[1]HURDAT Query'!$A$1:$F$1030, 3, 0)</f>
        <v>ERIKA</v>
      </c>
      <c r="D387" s="3">
        <f>VLOOKUP($B387, '[1]HURDAT Query'!$A$1:$F$1030, 4, 0)</f>
        <v>1</v>
      </c>
      <c r="E387" s="3">
        <f>VLOOKUP($B387, '[1]HURDAT Query'!$A$1:$F$1030, 5, 0)</f>
        <v>65</v>
      </c>
      <c r="F387" s="3">
        <f>VLOOKUP($B387, '[1]HURDAT Query'!$A$1:$F$1030, 6, 0)</f>
        <v>986</v>
      </c>
      <c r="G387" s="3" t="str">
        <f>_xlfn.IFNA(VLOOKUP(B387, '[1]Landfall Stats'!A:G, 7, 0), "No LF")</f>
        <v>No LF</v>
      </c>
      <c r="H387" s="3" t="str">
        <f>_xlfn.IFNA(VLOOKUP(B387, '[1]Landfall Stats'!A:G, 5, 0), "No LF")</f>
        <v>No LF</v>
      </c>
      <c r="I387" s="3" t="str">
        <f>_xlfn.IFNA(VLOOKUP(B387, '[1]Landfall Stats'!A:G, 6, 0), "No LF")</f>
        <v>No LF</v>
      </c>
      <c r="J387" s="4" t="s">
        <v>599</v>
      </c>
      <c r="K387" s="3">
        <v>0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2.75" customHeight="1" x14ac:dyDescent="0.2">
      <c r="A388" s="3">
        <v>2003</v>
      </c>
      <c r="B388" s="3" t="s">
        <v>600</v>
      </c>
      <c r="C388" s="3" t="str">
        <f>VLOOKUP($B388, '[1]HURDAT Query'!$A$1:$F$1030, 3, 0)</f>
        <v>FABIAN</v>
      </c>
      <c r="D388" s="3">
        <f>VLOOKUP($B388, '[1]HURDAT Query'!$A$1:$F$1030, 4, 0)</f>
        <v>4</v>
      </c>
      <c r="E388" s="3">
        <f>VLOOKUP($B388, '[1]HURDAT Query'!$A$1:$F$1030, 5, 0)</f>
        <v>125</v>
      </c>
      <c r="F388" s="3">
        <f>VLOOKUP($B388, '[1]HURDAT Query'!$A$1:$F$1030, 6, 0)</f>
        <v>939</v>
      </c>
      <c r="G388" s="3" t="str">
        <f>_xlfn.IFNA(VLOOKUP(B388, '[1]Landfall Stats'!A:G, 7, 0), "No LF")</f>
        <v>No LF</v>
      </c>
      <c r="H388" s="3" t="str">
        <f>_xlfn.IFNA(VLOOKUP(B388, '[1]Landfall Stats'!A:G, 5, 0), "No LF")</f>
        <v>No LF</v>
      </c>
      <c r="I388" s="3" t="str">
        <f>_xlfn.IFNA(VLOOKUP(B388, '[1]Landfall Stats'!A:G, 6, 0), "No LF")</f>
        <v>No LF</v>
      </c>
      <c r="J388" s="4" t="s">
        <v>601</v>
      </c>
      <c r="K388" s="3">
        <v>1</v>
      </c>
      <c r="L388" s="3"/>
      <c r="M388" s="3"/>
      <c r="N388" s="3"/>
      <c r="O388" s="3"/>
      <c r="P388" s="3"/>
      <c r="Q388" s="3"/>
      <c r="R388" s="3">
        <v>1</v>
      </c>
      <c r="S388" s="3" t="s">
        <v>290</v>
      </c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2.75" customHeight="1" x14ac:dyDescent="0.2">
      <c r="A389" s="3">
        <v>2003</v>
      </c>
      <c r="B389" s="3" t="s">
        <v>602</v>
      </c>
      <c r="C389" s="3" t="str">
        <f>VLOOKUP($B389, '[1]HURDAT Query'!$A$1:$F$1030, 3, 0)</f>
        <v>GRACE</v>
      </c>
      <c r="D389" s="3" t="str">
        <f>VLOOKUP($B389, '[1]HURDAT Query'!$A$1:$F$1030, 4, 0)</f>
        <v>NA</v>
      </c>
      <c r="E389" s="3" t="str">
        <f>VLOOKUP($B389, '[1]HURDAT Query'!$A$1:$F$1030, 5, 0)</f>
        <v>NA</v>
      </c>
      <c r="F389" s="3" t="str">
        <f>VLOOKUP($B389, '[1]HURDAT Query'!$A$1:$F$1030, 6, 0)</f>
        <v>NA</v>
      </c>
      <c r="G389" s="3" t="str">
        <f>_xlfn.IFNA(VLOOKUP(B389, '[1]Landfall Stats'!A:G, 7, 0), "No LF")</f>
        <v>No LF</v>
      </c>
      <c r="H389" s="3" t="str">
        <f>_xlfn.IFNA(VLOOKUP(B389, '[1]Landfall Stats'!A:G, 5, 0), "No LF")</f>
        <v>No LF</v>
      </c>
      <c r="I389" s="3" t="str">
        <f>_xlfn.IFNA(VLOOKUP(B389, '[1]Landfall Stats'!A:G, 6, 0), "No LF")</f>
        <v>No LF</v>
      </c>
      <c r="J389" s="4" t="s">
        <v>603</v>
      </c>
      <c r="K389" s="3">
        <v>0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12.75" customHeight="1" x14ac:dyDescent="0.2">
      <c r="A390" s="3">
        <v>2003</v>
      </c>
      <c r="B390" s="3" t="s">
        <v>604</v>
      </c>
      <c r="C390" s="3" t="str">
        <f>VLOOKUP($B390, '[1]HURDAT Query'!$A$1:$F$1030, 3, 0)</f>
        <v>HENRI</v>
      </c>
      <c r="D390" s="3" t="str">
        <f>VLOOKUP($B390, '[1]HURDAT Query'!$A$1:$F$1030, 4, 0)</f>
        <v>NA</v>
      </c>
      <c r="E390" s="3" t="str">
        <f>VLOOKUP($B390, '[1]HURDAT Query'!$A$1:$F$1030, 5, 0)</f>
        <v>NA</v>
      </c>
      <c r="F390" s="3" t="str">
        <f>VLOOKUP($B390, '[1]HURDAT Query'!$A$1:$F$1030, 6, 0)</f>
        <v>NA</v>
      </c>
      <c r="G390" s="3" t="str">
        <f>_xlfn.IFNA(VLOOKUP(B390, '[1]Landfall Stats'!A:G, 7, 0), "No LF")</f>
        <v>No LF</v>
      </c>
      <c r="H390" s="3" t="str">
        <f>_xlfn.IFNA(VLOOKUP(B390, '[1]Landfall Stats'!A:G, 5, 0), "No LF")</f>
        <v>No LF</v>
      </c>
      <c r="I390" s="3" t="str">
        <f>_xlfn.IFNA(VLOOKUP(B390, '[1]Landfall Stats'!A:G, 6, 0), "No LF")</f>
        <v>No LF</v>
      </c>
      <c r="J390" s="4" t="s">
        <v>605</v>
      </c>
      <c r="K390" s="3">
        <v>0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2.75" customHeight="1" x14ac:dyDescent="0.2">
      <c r="A391" s="3">
        <v>2003</v>
      </c>
      <c r="B391" s="3" t="s">
        <v>606</v>
      </c>
      <c r="C391" s="3" t="str">
        <f>VLOOKUP($B391, '[1]HURDAT Query'!$A$1:$F$1030, 3, 0)</f>
        <v>ISABEL</v>
      </c>
      <c r="D391" s="3">
        <f>VLOOKUP($B391, '[1]HURDAT Query'!$A$1:$F$1030, 4, 0)</f>
        <v>5</v>
      </c>
      <c r="E391" s="3">
        <f>VLOOKUP($B391, '[1]HURDAT Query'!$A$1:$F$1030, 5, 0)</f>
        <v>145</v>
      </c>
      <c r="F391" s="3">
        <f>VLOOKUP($B391, '[1]HURDAT Query'!$A$1:$F$1030, 6, 0)</f>
        <v>915</v>
      </c>
      <c r="G391" s="3">
        <f>_xlfn.IFNA(VLOOKUP(B391, '[1]Landfall Stats'!A:G, 7, 0), "No LF")</f>
        <v>2</v>
      </c>
      <c r="H391" s="3">
        <f>_xlfn.IFNA(VLOOKUP(B391, '[1]Landfall Stats'!A:G, 5, 0), "No LF")</f>
        <v>90</v>
      </c>
      <c r="I391" s="3">
        <f>_xlfn.IFNA(VLOOKUP(B391, '[1]Landfall Stats'!A:G, 6, 0), "No LF")</f>
        <v>957</v>
      </c>
      <c r="J391" s="4" t="s">
        <v>607</v>
      </c>
      <c r="K391" s="3">
        <v>17</v>
      </c>
      <c r="L391" s="3">
        <v>1</v>
      </c>
      <c r="M391" s="3" t="s">
        <v>608</v>
      </c>
      <c r="N391" s="3">
        <v>4</v>
      </c>
      <c r="O391" s="3" t="s">
        <v>609</v>
      </c>
      <c r="P391" s="3"/>
      <c r="Q391" s="3"/>
      <c r="R391" s="3"/>
      <c r="S391" s="3"/>
      <c r="T391" s="3">
        <v>5</v>
      </c>
      <c r="U391" s="3" t="s">
        <v>104</v>
      </c>
      <c r="V391" s="3"/>
      <c r="W391" s="3"/>
      <c r="X391" s="3">
        <v>7</v>
      </c>
      <c r="Y391" s="3" t="s">
        <v>610</v>
      </c>
      <c r="Z391" s="3"/>
      <c r="AA391" s="3"/>
      <c r="AB391" s="3"/>
      <c r="AC391" s="3"/>
      <c r="AD391" s="3"/>
      <c r="AE391" s="3"/>
    </row>
    <row r="392" spans="1:31" ht="12.75" customHeight="1" x14ac:dyDescent="0.2">
      <c r="A392" s="3">
        <v>2003</v>
      </c>
      <c r="B392" s="3" t="s">
        <v>611</v>
      </c>
      <c r="C392" s="3" t="str">
        <f>VLOOKUP($B392, '[1]HURDAT Query'!$A$1:$F$1030, 3, 0)</f>
        <v>JUAN</v>
      </c>
      <c r="D392" s="3">
        <f>VLOOKUP($B392, '[1]HURDAT Query'!$A$1:$F$1030, 4, 0)</f>
        <v>2</v>
      </c>
      <c r="E392" s="3">
        <f>VLOOKUP($B392, '[1]HURDAT Query'!$A$1:$F$1030, 5, 0)</f>
        <v>90</v>
      </c>
      <c r="F392" s="3">
        <f>VLOOKUP($B392, '[1]HURDAT Query'!$A$1:$F$1030, 6, 0)</f>
        <v>969</v>
      </c>
      <c r="G392" s="3" t="str">
        <f>_xlfn.IFNA(VLOOKUP(B392, '[1]Landfall Stats'!A:G, 7, 0), "No LF")</f>
        <v>No LF</v>
      </c>
      <c r="H392" s="3" t="str">
        <f>_xlfn.IFNA(VLOOKUP(B392, '[1]Landfall Stats'!A:G, 5, 0), "No LF")</f>
        <v>No LF</v>
      </c>
      <c r="I392" s="3" t="str">
        <f>_xlfn.IFNA(VLOOKUP(B392, '[1]Landfall Stats'!A:G, 6, 0), "No LF")</f>
        <v>No LF</v>
      </c>
      <c r="J392" s="4" t="s">
        <v>612</v>
      </c>
      <c r="K392" s="3">
        <v>0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2.75" customHeight="1" x14ac:dyDescent="0.2">
      <c r="A393" s="3">
        <v>2003</v>
      </c>
      <c r="B393" s="3" t="s">
        <v>613</v>
      </c>
      <c r="C393" s="3" t="str">
        <f>VLOOKUP($B393, '[1]HURDAT Query'!$A$1:$F$1030, 3, 0)</f>
        <v>KATE</v>
      </c>
      <c r="D393" s="3">
        <f>VLOOKUP($B393, '[1]HURDAT Query'!$A$1:$F$1030, 4, 0)</f>
        <v>3</v>
      </c>
      <c r="E393" s="3">
        <f>VLOOKUP($B393, '[1]HURDAT Query'!$A$1:$F$1030, 5, 0)</f>
        <v>110</v>
      </c>
      <c r="F393" s="3">
        <f>VLOOKUP($B393, '[1]HURDAT Query'!$A$1:$F$1030, 6, 0)</f>
        <v>952</v>
      </c>
      <c r="G393" s="3" t="str">
        <f>_xlfn.IFNA(VLOOKUP(B393, '[1]Landfall Stats'!A:G, 7, 0), "No LF")</f>
        <v>No LF</v>
      </c>
      <c r="H393" s="3" t="str">
        <f>_xlfn.IFNA(VLOOKUP(B393, '[1]Landfall Stats'!A:G, 5, 0), "No LF")</f>
        <v>No LF</v>
      </c>
      <c r="I393" s="3" t="str">
        <f>_xlfn.IFNA(VLOOKUP(B393, '[1]Landfall Stats'!A:G, 6, 0), "No LF")</f>
        <v>No LF</v>
      </c>
      <c r="J393" s="4" t="s">
        <v>614</v>
      </c>
      <c r="K393" s="3">
        <v>0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2.75" customHeight="1" x14ac:dyDescent="0.2">
      <c r="A394" s="3">
        <v>2003</v>
      </c>
      <c r="B394" s="3" t="s">
        <v>615</v>
      </c>
      <c r="C394" s="3" t="str">
        <f>VLOOKUP($B394, '[1]HURDAT Query'!$A$1:$F$1030, 3, 0)</f>
        <v>LARRY</v>
      </c>
      <c r="D394" s="3" t="str">
        <f>VLOOKUP($B394, '[1]HURDAT Query'!$A$1:$F$1030, 4, 0)</f>
        <v>NA</v>
      </c>
      <c r="E394" s="3" t="str">
        <f>VLOOKUP($B394, '[1]HURDAT Query'!$A$1:$F$1030, 5, 0)</f>
        <v>NA</v>
      </c>
      <c r="F394" s="3" t="str">
        <f>VLOOKUP($B394, '[1]HURDAT Query'!$A$1:$F$1030, 6, 0)</f>
        <v>NA</v>
      </c>
      <c r="G394" s="3" t="str">
        <f>_xlfn.IFNA(VLOOKUP(B394, '[1]Landfall Stats'!A:G, 7, 0), "No LF")</f>
        <v>No LF</v>
      </c>
      <c r="H394" s="3" t="str">
        <f>_xlfn.IFNA(VLOOKUP(B394, '[1]Landfall Stats'!A:G, 5, 0), "No LF")</f>
        <v>No LF</v>
      </c>
      <c r="I394" s="3" t="str">
        <f>_xlfn.IFNA(VLOOKUP(B394, '[1]Landfall Stats'!A:G, 6, 0), "No LF")</f>
        <v>No LF</v>
      </c>
      <c r="J394" s="4" t="s">
        <v>616</v>
      </c>
      <c r="K394" s="3">
        <v>0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2.75" customHeight="1" x14ac:dyDescent="0.2">
      <c r="A395" s="3">
        <v>2003</v>
      </c>
      <c r="B395" s="3" t="s">
        <v>617</v>
      </c>
      <c r="C395" s="3" t="str">
        <f>VLOOKUP($B395, '[1]HURDAT Query'!$A$1:$F$1030, 3, 0)</f>
        <v>MINDY</v>
      </c>
      <c r="D395" s="3" t="str">
        <f>VLOOKUP($B395, '[1]HURDAT Query'!$A$1:$F$1030, 4, 0)</f>
        <v>NA</v>
      </c>
      <c r="E395" s="3" t="str">
        <f>VLOOKUP($B395, '[1]HURDAT Query'!$A$1:$F$1030, 5, 0)</f>
        <v>NA</v>
      </c>
      <c r="F395" s="3" t="str">
        <f>VLOOKUP($B395, '[1]HURDAT Query'!$A$1:$F$1030, 6, 0)</f>
        <v>NA</v>
      </c>
      <c r="G395" s="3" t="str">
        <f>_xlfn.IFNA(VLOOKUP(B395, '[1]Landfall Stats'!A:G, 7, 0), "No LF")</f>
        <v>No LF</v>
      </c>
      <c r="H395" s="3" t="str">
        <f>_xlfn.IFNA(VLOOKUP(B395, '[1]Landfall Stats'!A:G, 5, 0), "No LF")</f>
        <v>No LF</v>
      </c>
      <c r="I395" s="3" t="str">
        <f>_xlfn.IFNA(VLOOKUP(B395, '[1]Landfall Stats'!A:G, 6, 0), "No LF")</f>
        <v>No LF</v>
      </c>
      <c r="J395" s="4" t="s">
        <v>618</v>
      </c>
      <c r="K395" s="3">
        <v>0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2.75" customHeight="1" x14ac:dyDescent="0.2">
      <c r="A396" s="3">
        <v>2003</v>
      </c>
      <c r="B396" s="3" t="s">
        <v>619</v>
      </c>
      <c r="C396" s="3" t="str">
        <f>VLOOKUP($B396, '[1]HURDAT Query'!$A$1:$F$1030, 3, 0)</f>
        <v>NICHOLAS</v>
      </c>
      <c r="D396" s="3" t="str">
        <f>VLOOKUP($B396, '[1]HURDAT Query'!$A$1:$F$1030, 4, 0)</f>
        <v>NA</v>
      </c>
      <c r="E396" s="3" t="str">
        <f>VLOOKUP($B396, '[1]HURDAT Query'!$A$1:$F$1030, 5, 0)</f>
        <v>NA</v>
      </c>
      <c r="F396" s="3" t="str">
        <f>VLOOKUP($B396, '[1]HURDAT Query'!$A$1:$F$1030, 6, 0)</f>
        <v>NA</v>
      </c>
      <c r="G396" s="3" t="str">
        <f>_xlfn.IFNA(VLOOKUP(B396, '[1]Landfall Stats'!A:G, 7, 0), "No LF")</f>
        <v>No LF</v>
      </c>
      <c r="H396" s="3" t="str">
        <f>_xlfn.IFNA(VLOOKUP(B396, '[1]Landfall Stats'!A:G, 5, 0), "No LF")</f>
        <v>No LF</v>
      </c>
      <c r="I396" s="3" t="str">
        <f>_xlfn.IFNA(VLOOKUP(B396, '[1]Landfall Stats'!A:G, 6, 0), "No LF")</f>
        <v>No LF</v>
      </c>
      <c r="J396" s="4" t="s">
        <v>620</v>
      </c>
      <c r="K396" s="3">
        <v>0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2.75" customHeight="1" x14ac:dyDescent="0.2">
      <c r="A397" s="3">
        <v>2003</v>
      </c>
      <c r="B397" s="3" t="s">
        <v>621</v>
      </c>
      <c r="C397" s="3" t="str">
        <f>VLOOKUP($B397, '[1]HURDAT Query'!$A$1:$F$1030, 3, 0)</f>
        <v>ODETTE</v>
      </c>
      <c r="D397" s="3" t="str">
        <f>VLOOKUP($B397, '[1]HURDAT Query'!$A$1:$F$1030, 4, 0)</f>
        <v>NA</v>
      </c>
      <c r="E397" s="3" t="str">
        <f>VLOOKUP($B397, '[1]HURDAT Query'!$A$1:$F$1030, 5, 0)</f>
        <v>NA</v>
      </c>
      <c r="F397" s="3" t="str">
        <f>VLOOKUP($B397, '[1]HURDAT Query'!$A$1:$F$1030, 6, 0)</f>
        <v>NA</v>
      </c>
      <c r="G397" s="3" t="str">
        <f>_xlfn.IFNA(VLOOKUP(B397, '[1]Landfall Stats'!A:G, 7, 0), "No LF")</f>
        <v>No LF</v>
      </c>
      <c r="H397" s="3" t="str">
        <f>_xlfn.IFNA(VLOOKUP(B397, '[1]Landfall Stats'!A:G, 5, 0), "No LF")</f>
        <v>No LF</v>
      </c>
      <c r="I397" s="3" t="str">
        <f>_xlfn.IFNA(VLOOKUP(B397, '[1]Landfall Stats'!A:G, 6, 0), "No LF")</f>
        <v>No LF</v>
      </c>
      <c r="J397" s="4" t="s">
        <v>622</v>
      </c>
      <c r="K397" s="3">
        <v>0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2.75" customHeight="1" x14ac:dyDescent="0.2">
      <c r="A398" s="3">
        <v>2003</v>
      </c>
      <c r="B398" s="3" t="s">
        <v>623</v>
      </c>
      <c r="C398" s="3" t="str">
        <f>VLOOKUP($B398, '[1]HURDAT Query'!$A$1:$F$1030, 3, 0)</f>
        <v>PETER</v>
      </c>
      <c r="D398" s="3" t="str">
        <f>VLOOKUP($B398, '[1]HURDAT Query'!$A$1:$F$1030, 4, 0)</f>
        <v>NA</v>
      </c>
      <c r="E398" s="3" t="str">
        <f>VLOOKUP($B398, '[1]HURDAT Query'!$A$1:$F$1030, 5, 0)</f>
        <v>NA</v>
      </c>
      <c r="F398" s="3" t="str">
        <f>VLOOKUP($B398, '[1]HURDAT Query'!$A$1:$F$1030, 6, 0)</f>
        <v>NA</v>
      </c>
      <c r="G398" s="3" t="str">
        <f>_xlfn.IFNA(VLOOKUP(B398, '[1]Landfall Stats'!A:G, 7, 0), "No LF")</f>
        <v>No LF</v>
      </c>
      <c r="H398" s="3" t="str">
        <f>_xlfn.IFNA(VLOOKUP(B398, '[1]Landfall Stats'!A:G, 5, 0), "No LF")</f>
        <v>No LF</v>
      </c>
      <c r="I398" s="3" t="str">
        <f>_xlfn.IFNA(VLOOKUP(B398, '[1]Landfall Stats'!A:G, 6, 0), "No LF")</f>
        <v>No LF</v>
      </c>
      <c r="J398" s="4" t="s">
        <v>624</v>
      </c>
      <c r="K398" s="3">
        <v>0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2.75" customHeight="1" x14ac:dyDescent="0.2">
      <c r="A399" s="3">
        <v>2004</v>
      </c>
      <c r="B399" s="3" t="s">
        <v>625</v>
      </c>
      <c r="C399" s="3" t="str">
        <f>VLOOKUP($B399, '[1]HURDAT Query'!$A$1:$F$1030, 3, 0)</f>
        <v>ALEX</v>
      </c>
      <c r="D399" s="3">
        <f>VLOOKUP($B399, '[1]HURDAT Query'!$A$1:$F$1030, 4, 0)</f>
        <v>3</v>
      </c>
      <c r="E399" s="3">
        <f>VLOOKUP($B399, '[1]HURDAT Query'!$A$1:$F$1030, 5, 0)</f>
        <v>105</v>
      </c>
      <c r="F399" s="3">
        <f>VLOOKUP($B399, '[1]HURDAT Query'!$A$1:$F$1030, 6, 0)</f>
        <v>957</v>
      </c>
      <c r="G399" s="3" t="str">
        <f>_xlfn.IFNA(VLOOKUP(B399, '[1]Landfall Stats'!A:G, 7, 0), "No LF")</f>
        <v>No LF</v>
      </c>
      <c r="H399" s="3" t="str">
        <f>_xlfn.IFNA(VLOOKUP(B399, '[1]Landfall Stats'!A:G, 5, 0), "No LF")</f>
        <v>No LF</v>
      </c>
      <c r="I399" s="3" t="str">
        <f>_xlfn.IFNA(VLOOKUP(B399, '[1]Landfall Stats'!A:G, 6, 0), "No LF")</f>
        <v>No LF</v>
      </c>
      <c r="J399" s="4" t="s">
        <v>626</v>
      </c>
      <c r="K399" s="3">
        <v>1</v>
      </c>
      <c r="L399" s="3"/>
      <c r="M399" s="3"/>
      <c r="N399" s="3"/>
      <c r="O399" s="3"/>
      <c r="P399" s="3"/>
      <c r="Q399" s="3"/>
      <c r="R399" s="3">
        <v>1</v>
      </c>
      <c r="S399" s="3" t="s">
        <v>290</v>
      </c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2.75" customHeight="1" x14ac:dyDescent="0.2">
      <c r="A400" s="3">
        <v>2004</v>
      </c>
      <c r="B400" s="3" t="s">
        <v>627</v>
      </c>
      <c r="C400" s="3" t="str">
        <f>VLOOKUP($B400, '[1]HURDAT Query'!$A$1:$F$1030, 3, 0)</f>
        <v>BONNIE</v>
      </c>
      <c r="D400" s="3" t="str">
        <f>VLOOKUP($B400, '[1]HURDAT Query'!$A$1:$F$1030, 4, 0)</f>
        <v>NA</v>
      </c>
      <c r="E400" s="3" t="str">
        <f>VLOOKUP($B400, '[1]HURDAT Query'!$A$1:$F$1030, 5, 0)</f>
        <v>NA</v>
      </c>
      <c r="F400" s="3" t="str">
        <f>VLOOKUP($B400, '[1]HURDAT Query'!$A$1:$F$1030, 6, 0)</f>
        <v>NA</v>
      </c>
      <c r="G400" s="3" t="str">
        <f>_xlfn.IFNA(VLOOKUP(B400, '[1]Landfall Stats'!A:G, 7, 0), "No LF")</f>
        <v>No LF</v>
      </c>
      <c r="H400" s="3" t="str">
        <f>_xlfn.IFNA(VLOOKUP(B400, '[1]Landfall Stats'!A:G, 5, 0), "No LF")</f>
        <v>No LF</v>
      </c>
      <c r="I400" s="3" t="str">
        <f>_xlfn.IFNA(VLOOKUP(B400, '[1]Landfall Stats'!A:G, 6, 0), "No LF")</f>
        <v>No LF</v>
      </c>
      <c r="J400" s="4" t="s">
        <v>628</v>
      </c>
      <c r="K400" s="3">
        <v>3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3</v>
      </c>
      <c r="AA400" s="3" t="s">
        <v>290</v>
      </c>
      <c r="AB400" s="3"/>
      <c r="AC400" s="3"/>
      <c r="AD400" s="3"/>
      <c r="AE400" s="3"/>
    </row>
    <row r="401" spans="1:31" ht="12.75" customHeight="1" x14ac:dyDescent="0.2">
      <c r="A401" s="3">
        <v>2004</v>
      </c>
      <c r="B401" s="3" t="s">
        <v>629</v>
      </c>
      <c r="C401" s="3" t="str">
        <f>VLOOKUP($B401, '[1]HURDAT Query'!$A$1:$F$1030, 3, 0)</f>
        <v>CHARLEY</v>
      </c>
      <c r="D401" s="3">
        <f>VLOOKUP($B401, '[1]HURDAT Query'!$A$1:$F$1030, 4, 0)</f>
        <v>4</v>
      </c>
      <c r="E401" s="3">
        <f>VLOOKUP($B401, '[1]HURDAT Query'!$A$1:$F$1030, 5, 0)</f>
        <v>130</v>
      </c>
      <c r="F401" s="3">
        <f>VLOOKUP($B401, '[1]HURDAT Query'!$A$1:$F$1030, 6, 0)</f>
        <v>941</v>
      </c>
      <c r="G401" s="3">
        <f>_xlfn.IFNA(VLOOKUP(B401, '[1]Landfall Stats'!A:G, 7, 0), "No LF")</f>
        <v>4</v>
      </c>
      <c r="H401" s="3">
        <f>_xlfn.IFNA(VLOOKUP(B401, '[1]Landfall Stats'!A:G, 5, 0), "No LF")</f>
        <v>130</v>
      </c>
      <c r="I401" s="3">
        <f>_xlfn.IFNA(VLOOKUP(B401, '[1]Landfall Stats'!A:G, 6, 0), "No LF")</f>
        <v>941</v>
      </c>
      <c r="J401" s="4" t="s">
        <v>630</v>
      </c>
      <c r="K401" s="3">
        <v>10</v>
      </c>
      <c r="L401" s="3"/>
      <c r="M401" s="3"/>
      <c r="N401" s="3"/>
      <c r="O401" s="3"/>
      <c r="P401" s="3"/>
      <c r="Q401" s="3"/>
      <c r="R401" s="3">
        <v>1</v>
      </c>
      <c r="S401" s="3" t="s">
        <v>631</v>
      </c>
      <c r="T401" s="3"/>
      <c r="U401" s="3"/>
      <c r="V401" s="3">
        <v>6</v>
      </c>
      <c r="W401" s="3" t="s">
        <v>51</v>
      </c>
      <c r="X401" s="3">
        <v>1</v>
      </c>
      <c r="Y401" s="3" t="s">
        <v>51</v>
      </c>
      <c r="Z401" s="3"/>
      <c r="AA401" s="3"/>
      <c r="AB401" s="3"/>
      <c r="AC401" s="3"/>
      <c r="AD401" s="3">
        <v>2</v>
      </c>
      <c r="AE401" s="3" t="s">
        <v>42</v>
      </c>
    </row>
    <row r="402" spans="1:31" ht="12.75" customHeight="1" x14ac:dyDescent="0.2">
      <c r="A402" s="3">
        <v>2004</v>
      </c>
      <c r="B402" s="3" t="s">
        <v>632</v>
      </c>
      <c r="C402" s="3" t="str">
        <f>VLOOKUP($B402, '[1]HURDAT Query'!$A$1:$F$1030, 3, 0)</f>
        <v>DANIELLE</v>
      </c>
      <c r="D402" s="3">
        <f>VLOOKUP($B402, '[1]HURDAT Query'!$A$1:$F$1030, 4, 0)</f>
        <v>2</v>
      </c>
      <c r="E402" s="3">
        <f>VLOOKUP($B402, '[1]HURDAT Query'!$A$1:$F$1030, 5, 0)</f>
        <v>95</v>
      </c>
      <c r="F402" s="3">
        <f>VLOOKUP($B402, '[1]HURDAT Query'!$A$1:$F$1030, 6, 0)</f>
        <v>964</v>
      </c>
      <c r="G402" s="3" t="str">
        <f>_xlfn.IFNA(VLOOKUP(B402, '[1]Landfall Stats'!A:G, 7, 0), "No LF")</f>
        <v>No LF</v>
      </c>
      <c r="H402" s="3" t="str">
        <f>_xlfn.IFNA(VLOOKUP(B402, '[1]Landfall Stats'!A:G, 5, 0), "No LF")</f>
        <v>No LF</v>
      </c>
      <c r="I402" s="3" t="str">
        <f>_xlfn.IFNA(VLOOKUP(B402, '[1]Landfall Stats'!A:G, 6, 0), "No LF")</f>
        <v>No LF</v>
      </c>
      <c r="J402" s="4" t="s">
        <v>633</v>
      </c>
      <c r="K402" s="3">
        <v>0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2.75" customHeight="1" x14ac:dyDescent="0.2">
      <c r="A403" s="3">
        <v>2004</v>
      </c>
      <c r="B403" s="3" t="s">
        <v>634</v>
      </c>
      <c r="C403" s="3" t="str">
        <f>VLOOKUP($B403, '[1]HURDAT Query'!$A$1:$F$1030, 3, 0)</f>
        <v>EARL</v>
      </c>
      <c r="D403" s="3" t="str">
        <f>VLOOKUP($B403, '[1]HURDAT Query'!$A$1:$F$1030, 4, 0)</f>
        <v>NA</v>
      </c>
      <c r="E403" s="3" t="str">
        <f>VLOOKUP($B403, '[1]HURDAT Query'!$A$1:$F$1030, 5, 0)</f>
        <v>NA</v>
      </c>
      <c r="F403" s="3" t="str">
        <f>VLOOKUP($B403, '[1]HURDAT Query'!$A$1:$F$1030, 6, 0)</f>
        <v>NA</v>
      </c>
      <c r="G403" s="3" t="str">
        <f>_xlfn.IFNA(VLOOKUP(B403, '[1]Landfall Stats'!A:G, 7, 0), "No LF")</f>
        <v>No LF</v>
      </c>
      <c r="H403" s="3" t="str">
        <f>_xlfn.IFNA(VLOOKUP(B403, '[1]Landfall Stats'!A:G, 5, 0), "No LF")</f>
        <v>No LF</v>
      </c>
      <c r="I403" s="3" t="str">
        <f>_xlfn.IFNA(VLOOKUP(B403, '[1]Landfall Stats'!A:G, 6, 0), "No LF")</f>
        <v>No LF</v>
      </c>
      <c r="J403" s="4" t="s">
        <v>635</v>
      </c>
      <c r="K403" s="3">
        <v>0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2.75" customHeight="1" x14ac:dyDescent="0.2">
      <c r="A404" s="3">
        <v>2004</v>
      </c>
      <c r="B404" s="3" t="s">
        <v>636</v>
      </c>
      <c r="C404" s="3" t="str">
        <f>VLOOKUP($B404, '[1]HURDAT Query'!$A$1:$F$1030, 3, 0)</f>
        <v>FRANCES</v>
      </c>
      <c r="D404" s="3">
        <f>VLOOKUP($B404, '[1]HURDAT Query'!$A$1:$F$1030, 4, 0)</f>
        <v>4</v>
      </c>
      <c r="E404" s="3">
        <f>VLOOKUP($B404, '[1]HURDAT Query'!$A$1:$F$1030, 5, 0)</f>
        <v>125</v>
      </c>
      <c r="F404" s="3">
        <f>VLOOKUP($B404, '[1]HURDAT Query'!$A$1:$F$1030, 6, 0)</f>
        <v>935</v>
      </c>
      <c r="G404" s="3">
        <f>_xlfn.IFNA(VLOOKUP(B404, '[1]Landfall Stats'!A:G, 7, 0), "No LF")</f>
        <v>2</v>
      </c>
      <c r="H404" s="3">
        <f>_xlfn.IFNA(VLOOKUP(B404, '[1]Landfall Stats'!A:G, 5, 0), "No LF")</f>
        <v>90</v>
      </c>
      <c r="I404" s="3">
        <f>_xlfn.IFNA(VLOOKUP(B404, '[1]Landfall Stats'!A:G, 6, 0), "No LF")</f>
        <v>960</v>
      </c>
      <c r="J404" s="4" t="s">
        <v>637</v>
      </c>
      <c r="K404" s="3">
        <v>6</v>
      </c>
      <c r="L404" s="3">
        <v>2</v>
      </c>
      <c r="M404" s="3" t="s">
        <v>42</v>
      </c>
      <c r="N404" s="3"/>
      <c r="O404" s="3"/>
      <c r="P404" s="3"/>
      <c r="Q404" s="3"/>
      <c r="R404" s="3"/>
      <c r="S404" s="3"/>
      <c r="T404" s="3">
        <v>1</v>
      </c>
      <c r="U404" s="3" t="s">
        <v>42</v>
      </c>
      <c r="V404" s="3">
        <v>3</v>
      </c>
      <c r="W404" s="3" t="s">
        <v>42</v>
      </c>
      <c r="X404" s="3"/>
      <c r="Y404" s="3"/>
      <c r="Z404" s="3"/>
      <c r="AA404" s="3"/>
      <c r="AB404" s="3">
        <v>1</v>
      </c>
      <c r="AC404" s="3" t="s">
        <v>42</v>
      </c>
      <c r="AD404" s="3"/>
      <c r="AE404" s="3"/>
    </row>
    <row r="405" spans="1:31" ht="12.75" customHeight="1" x14ac:dyDescent="0.2">
      <c r="A405" s="3">
        <v>2004</v>
      </c>
      <c r="B405" s="3" t="s">
        <v>638</v>
      </c>
      <c r="C405" s="3" t="str">
        <f>VLOOKUP($B405, '[1]HURDAT Query'!$A$1:$F$1030, 3, 0)</f>
        <v>GASTON</v>
      </c>
      <c r="D405" s="3">
        <f>VLOOKUP($B405, '[1]HURDAT Query'!$A$1:$F$1030, 4, 0)</f>
        <v>1</v>
      </c>
      <c r="E405" s="3">
        <f>VLOOKUP($B405, '[1]HURDAT Query'!$A$1:$F$1030, 5, 0)</f>
        <v>65</v>
      </c>
      <c r="F405" s="3">
        <f>VLOOKUP($B405, '[1]HURDAT Query'!$A$1:$F$1030, 6, 0)</f>
        <v>985</v>
      </c>
      <c r="G405" s="3">
        <f>_xlfn.IFNA(VLOOKUP(B405, '[1]Landfall Stats'!A:G, 7, 0), "No LF")</f>
        <v>1</v>
      </c>
      <c r="H405" s="3">
        <f>_xlfn.IFNA(VLOOKUP(B405, '[1]Landfall Stats'!A:G, 5, 0), "No LF")</f>
        <v>65</v>
      </c>
      <c r="I405" s="3">
        <f>_xlfn.IFNA(VLOOKUP(B405, '[1]Landfall Stats'!A:G, 6, 0), "No LF")</f>
        <v>985</v>
      </c>
      <c r="J405" s="4" t="s">
        <v>639</v>
      </c>
      <c r="K405" s="3">
        <v>11</v>
      </c>
      <c r="L405" s="3"/>
      <c r="M405" s="3"/>
      <c r="N405" s="3"/>
      <c r="O405" s="3"/>
      <c r="P405" s="3"/>
      <c r="Q405" s="3"/>
      <c r="R405" s="3"/>
      <c r="S405" s="3"/>
      <c r="T405" s="3">
        <v>8</v>
      </c>
      <c r="U405" s="3" t="s">
        <v>104</v>
      </c>
      <c r="V405" s="3"/>
      <c r="W405" s="3"/>
      <c r="X405" s="3"/>
      <c r="Y405" s="3"/>
      <c r="Z405" s="3"/>
      <c r="AA405" s="3"/>
      <c r="AB405" s="3"/>
      <c r="AC405" s="3"/>
      <c r="AD405" s="3">
        <v>3</v>
      </c>
      <c r="AE405" s="3" t="s">
        <v>42</v>
      </c>
    </row>
    <row r="406" spans="1:31" ht="12.75" customHeight="1" x14ac:dyDescent="0.2">
      <c r="A406" s="3">
        <v>2004</v>
      </c>
      <c r="B406" s="3" t="s">
        <v>640</v>
      </c>
      <c r="C406" s="3" t="str">
        <f>VLOOKUP($B406, '[1]HURDAT Query'!$A$1:$F$1030, 3, 0)</f>
        <v>HERMINE</v>
      </c>
      <c r="D406" s="3" t="str">
        <f>VLOOKUP($B406, '[1]HURDAT Query'!$A$1:$F$1030, 4, 0)</f>
        <v>NA</v>
      </c>
      <c r="E406" s="3" t="str">
        <f>VLOOKUP($B406, '[1]HURDAT Query'!$A$1:$F$1030, 5, 0)</f>
        <v>NA</v>
      </c>
      <c r="F406" s="3" t="str">
        <f>VLOOKUP($B406, '[1]HURDAT Query'!$A$1:$F$1030, 6, 0)</f>
        <v>NA</v>
      </c>
      <c r="G406" s="3" t="str">
        <f>_xlfn.IFNA(VLOOKUP(B406, '[1]Landfall Stats'!A:G, 7, 0), "No LF")</f>
        <v>No LF</v>
      </c>
      <c r="H406" s="3" t="str">
        <f>_xlfn.IFNA(VLOOKUP(B406, '[1]Landfall Stats'!A:G, 5, 0), "No LF")</f>
        <v>No LF</v>
      </c>
      <c r="I406" s="3" t="str">
        <f>_xlfn.IFNA(VLOOKUP(B406, '[1]Landfall Stats'!A:G, 6, 0), "No LF")</f>
        <v>No LF</v>
      </c>
      <c r="J406" s="4" t="s">
        <v>641</v>
      </c>
      <c r="K406" s="3">
        <v>0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2.75" customHeight="1" x14ac:dyDescent="0.2">
      <c r="A407" s="3">
        <v>2004</v>
      </c>
      <c r="B407" s="3" t="s">
        <v>642</v>
      </c>
      <c r="C407" s="3" t="str">
        <f>VLOOKUP($B407, '[1]HURDAT Query'!$A$1:$F$1030, 3, 0)</f>
        <v>IVAN</v>
      </c>
      <c r="D407" s="3">
        <f>VLOOKUP($B407, '[1]HURDAT Query'!$A$1:$F$1030, 4, 0)</f>
        <v>5</v>
      </c>
      <c r="E407" s="3">
        <f>VLOOKUP($B407, '[1]HURDAT Query'!$A$1:$F$1030, 5, 0)</f>
        <v>145</v>
      </c>
      <c r="F407" s="3">
        <f>VLOOKUP($B407, '[1]HURDAT Query'!$A$1:$F$1030, 6, 0)</f>
        <v>910</v>
      </c>
      <c r="G407" s="3">
        <f>_xlfn.IFNA(VLOOKUP(B407, '[1]Landfall Stats'!A:G, 7, 0), "No LF")</f>
        <v>3</v>
      </c>
      <c r="H407" s="3">
        <f>_xlfn.IFNA(VLOOKUP(B407, '[1]Landfall Stats'!A:G, 5, 0), "No LF")</f>
        <v>105</v>
      </c>
      <c r="I407" s="3">
        <f>_xlfn.IFNA(VLOOKUP(B407, '[1]Landfall Stats'!A:G, 6, 0), "No LF")</f>
        <v>946</v>
      </c>
      <c r="J407" s="4" t="s">
        <v>643</v>
      </c>
      <c r="K407" s="3">
        <v>25</v>
      </c>
      <c r="L407" s="3">
        <v>5</v>
      </c>
      <c r="M407" s="3" t="s">
        <v>42</v>
      </c>
      <c r="N407" s="3">
        <v>2</v>
      </c>
      <c r="O407" s="3" t="s">
        <v>42</v>
      </c>
      <c r="P407" s="3"/>
      <c r="Q407" s="3"/>
      <c r="R407" s="3"/>
      <c r="S407" s="3"/>
      <c r="T407" s="3">
        <v>8</v>
      </c>
      <c r="U407" s="3" t="s">
        <v>42</v>
      </c>
      <c r="V407" s="3">
        <v>3</v>
      </c>
      <c r="W407" s="3" t="s">
        <v>42</v>
      </c>
      <c r="X407" s="3"/>
      <c r="Y407" s="3"/>
      <c r="Z407" s="3">
        <v>7</v>
      </c>
      <c r="AA407" s="3" t="s">
        <v>42</v>
      </c>
      <c r="AB407" s="3"/>
      <c r="AC407" s="3"/>
      <c r="AD407" s="3"/>
      <c r="AE407" s="3"/>
    </row>
    <row r="408" spans="1:31" ht="12.75" customHeight="1" x14ac:dyDescent="0.2">
      <c r="A408" s="3">
        <v>2004</v>
      </c>
      <c r="B408" s="3" t="s">
        <v>644</v>
      </c>
      <c r="C408" s="3" t="str">
        <f>VLOOKUP($B408, '[1]HURDAT Query'!$A$1:$F$1030, 3, 0)</f>
        <v>JEANNE</v>
      </c>
      <c r="D408" s="3">
        <f>VLOOKUP($B408, '[1]HURDAT Query'!$A$1:$F$1030, 4, 0)</f>
        <v>3</v>
      </c>
      <c r="E408" s="3">
        <f>VLOOKUP($B408, '[1]HURDAT Query'!$A$1:$F$1030, 5, 0)</f>
        <v>105</v>
      </c>
      <c r="F408" s="3">
        <f>VLOOKUP($B408, '[1]HURDAT Query'!$A$1:$F$1030, 6, 0)</f>
        <v>950</v>
      </c>
      <c r="G408" s="3">
        <f>_xlfn.IFNA(VLOOKUP(B408, '[1]Landfall Stats'!A:G, 7, 0), "No LF")</f>
        <v>3</v>
      </c>
      <c r="H408" s="3">
        <f>_xlfn.IFNA(VLOOKUP(B408, '[1]Landfall Stats'!A:G, 5, 0), "No LF")</f>
        <v>105</v>
      </c>
      <c r="I408" s="3">
        <f>_xlfn.IFNA(VLOOKUP(B408, '[1]Landfall Stats'!A:G, 6, 0), "No LF")</f>
        <v>950</v>
      </c>
      <c r="J408" s="4" t="s">
        <v>645</v>
      </c>
      <c r="K408" s="3">
        <v>5</v>
      </c>
      <c r="L408" s="3"/>
      <c r="M408" s="3"/>
      <c r="N408" s="3"/>
      <c r="O408" s="3"/>
      <c r="P408" s="3"/>
      <c r="Q408" s="3"/>
      <c r="R408" s="3"/>
      <c r="S408" s="3"/>
      <c r="T408" s="3">
        <v>2</v>
      </c>
      <c r="U408" s="3" t="s">
        <v>646</v>
      </c>
      <c r="V408" s="3">
        <v>1</v>
      </c>
      <c r="W408" s="3" t="s">
        <v>51</v>
      </c>
      <c r="X408" s="3">
        <v>1</v>
      </c>
      <c r="Y408" s="3" t="s">
        <v>51</v>
      </c>
      <c r="Z408" s="3">
        <v>1</v>
      </c>
      <c r="AA408" s="3" t="s">
        <v>290</v>
      </c>
      <c r="AB408" s="3"/>
      <c r="AC408" s="3"/>
      <c r="AD408" s="3"/>
      <c r="AE408" s="3"/>
    </row>
    <row r="409" spans="1:31" ht="12.75" customHeight="1" x14ac:dyDescent="0.2">
      <c r="A409" s="3">
        <v>2004</v>
      </c>
      <c r="B409" s="3" t="s">
        <v>647</v>
      </c>
      <c r="C409" s="3" t="str">
        <f>VLOOKUP($B409, '[1]HURDAT Query'!$A$1:$F$1030, 3, 0)</f>
        <v>KARL</v>
      </c>
      <c r="D409" s="3">
        <f>VLOOKUP($B409, '[1]HURDAT Query'!$A$1:$F$1030, 4, 0)</f>
        <v>4</v>
      </c>
      <c r="E409" s="3">
        <f>VLOOKUP($B409, '[1]HURDAT Query'!$A$1:$F$1030, 5, 0)</f>
        <v>125</v>
      </c>
      <c r="F409" s="3">
        <f>VLOOKUP($B409, '[1]HURDAT Query'!$A$1:$F$1030, 6, 0)</f>
        <v>938</v>
      </c>
      <c r="G409" s="3" t="str">
        <f>_xlfn.IFNA(VLOOKUP(B409, '[1]Landfall Stats'!A:G, 7, 0), "No LF")</f>
        <v>No LF</v>
      </c>
      <c r="H409" s="3" t="str">
        <f>_xlfn.IFNA(VLOOKUP(B409, '[1]Landfall Stats'!A:G, 5, 0), "No LF")</f>
        <v>No LF</v>
      </c>
      <c r="I409" s="3" t="str">
        <f>_xlfn.IFNA(VLOOKUP(B409, '[1]Landfall Stats'!A:G, 6, 0), "No LF")</f>
        <v>No LF</v>
      </c>
      <c r="J409" s="4" t="s">
        <v>648</v>
      </c>
      <c r="K409" s="3">
        <v>0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2.75" customHeight="1" x14ac:dyDescent="0.2">
      <c r="A410" s="3">
        <v>2004</v>
      </c>
      <c r="B410" s="3" t="s">
        <v>649</v>
      </c>
      <c r="C410" s="3" t="str">
        <f>VLOOKUP($B410, '[1]HURDAT Query'!$A$1:$F$1030, 3, 0)</f>
        <v>LISA</v>
      </c>
      <c r="D410" s="3">
        <f>VLOOKUP($B410, '[1]HURDAT Query'!$A$1:$F$1030, 4, 0)</f>
        <v>1</v>
      </c>
      <c r="E410" s="3">
        <f>VLOOKUP($B410, '[1]HURDAT Query'!$A$1:$F$1030, 5, 0)</f>
        <v>65</v>
      </c>
      <c r="F410" s="3">
        <f>VLOOKUP($B410, '[1]HURDAT Query'!$A$1:$F$1030, 6, 0)</f>
        <v>987</v>
      </c>
      <c r="G410" s="3" t="str">
        <f>_xlfn.IFNA(VLOOKUP(B410, '[1]Landfall Stats'!A:G, 7, 0), "No LF")</f>
        <v>No LF</v>
      </c>
      <c r="H410" s="3" t="str">
        <f>_xlfn.IFNA(VLOOKUP(B410, '[1]Landfall Stats'!A:G, 5, 0), "No LF")</f>
        <v>No LF</v>
      </c>
      <c r="I410" s="3" t="str">
        <f>_xlfn.IFNA(VLOOKUP(B410, '[1]Landfall Stats'!A:G, 6, 0), "No LF")</f>
        <v>No LF</v>
      </c>
      <c r="J410" s="4" t="s">
        <v>650</v>
      </c>
      <c r="K410" s="3">
        <v>0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2.75" customHeight="1" x14ac:dyDescent="0.2">
      <c r="A411" s="3">
        <v>2004</v>
      </c>
      <c r="B411" s="3" t="s">
        <v>651</v>
      </c>
      <c r="C411" s="3" t="str">
        <f>VLOOKUP($B411, '[1]HURDAT Query'!$A$1:$F$1030, 3, 0)</f>
        <v>MATTHEW</v>
      </c>
      <c r="D411" s="3" t="str">
        <f>VLOOKUP($B411, '[1]HURDAT Query'!$A$1:$F$1030, 4, 0)</f>
        <v>NA</v>
      </c>
      <c r="E411" s="3" t="str">
        <f>VLOOKUP($B411, '[1]HURDAT Query'!$A$1:$F$1030, 5, 0)</f>
        <v>NA</v>
      </c>
      <c r="F411" s="3" t="str">
        <f>VLOOKUP($B411, '[1]HURDAT Query'!$A$1:$F$1030, 6, 0)</f>
        <v>NA</v>
      </c>
      <c r="G411" s="3" t="str">
        <f>_xlfn.IFNA(VLOOKUP(B411, '[1]Landfall Stats'!A:G, 7, 0), "No LF")</f>
        <v>No LF</v>
      </c>
      <c r="H411" s="3" t="str">
        <f>_xlfn.IFNA(VLOOKUP(B411, '[1]Landfall Stats'!A:G, 5, 0), "No LF")</f>
        <v>No LF</v>
      </c>
      <c r="I411" s="3" t="str">
        <f>_xlfn.IFNA(VLOOKUP(B411, '[1]Landfall Stats'!A:G, 6, 0), "No LF")</f>
        <v>No LF</v>
      </c>
      <c r="J411" s="4" t="s">
        <v>652</v>
      </c>
      <c r="K411" s="3">
        <v>0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2.75" customHeight="1" x14ac:dyDescent="0.2">
      <c r="A412" s="3">
        <v>2004</v>
      </c>
      <c r="B412" s="3" t="s">
        <v>653</v>
      </c>
      <c r="C412" s="3" t="str">
        <f>VLOOKUP($B412, '[1]HURDAT Query'!$A$1:$F$1030, 3, 0)</f>
        <v>NICOLE</v>
      </c>
      <c r="D412" s="3" t="str">
        <f>VLOOKUP($B412, '[1]HURDAT Query'!$A$1:$F$1030, 4, 0)</f>
        <v>NA</v>
      </c>
      <c r="E412" s="3" t="str">
        <f>VLOOKUP($B412, '[1]HURDAT Query'!$A$1:$F$1030, 5, 0)</f>
        <v>NA</v>
      </c>
      <c r="F412" s="3" t="str">
        <f>VLOOKUP($B412, '[1]HURDAT Query'!$A$1:$F$1030, 6, 0)</f>
        <v>NA</v>
      </c>
      <c r="G412" s="3" t="str">
        <f>_xlfn.IFNA(VLOOKUP(B412, '[1]Landfall Stats'!A:G, 7, 0), "No LF")</f>
        <v>No LF</v>
      </c>
      <c r="H412" s="3" t="str">
        <f>_xlfn.IFNA(VLOOKUP(B412, '[1]Landfall Stats'!A:G, 5, 0), "No LF")</f>
        <v>No LF</v>
      </c>
      <c r="I412" s="3" t="str">
        <f>_xlfn.IFNA(VLOOKUP(B412, '[1]Landfall Stats'!A:G, 6, 0), "No LF")</f>
        <v>No LF</v>
      </c>
      <c r="J412" s="4" t="s">
        <v>654</v>
      </c>
      <c r="K412" s="3">
        <v>0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2.75" customHeight="1" x14ac:dyDescent="0.2">
      <c r="A413" s="3">
        <v>2004</v>
      </c>
      <c r="B413" s="3" t="s">
        <v>655</v>
      </c>
      <c r="C413" s="3" t="str">
        <f>VLOOKUP($B413, '[1]HURDAT Query'!$A$1:$F$1030, 3, 0)</f>
        <v>OTTO</v>
      </c>
      <c r="D413" s="3" t="str">
        <f>VLOOKUP($B413, '[1]HURDAT Query'!$A$1:$F$1030, 4, 0)</f>
        <v>NA</v>
      </c>
      <c r="E413" s="3" t="str">
        <f>VLOOKUP($B413, '[1]HURDAT Query'!$A$1:$F$1030, 5, 0)</f>
        <v>NA</v>
      </c>
      <c r="F413" s="3" t="str">
        <f>VLOOKUP($B413, '[1]HURDAT Query'!$A$1:$F$1030, 6, 0)</f>
        <v>NA</v>
      </c>
      <c r="G413" s="3" t="str">
        <f>_xlfn.IFNA(VLOOKUP(B413, '[1]Landfall Stats'!A:G, 7, 0), "No LF")</f>
        <v>No LF</v>
      </c>
      <c r="H413" s="3" t="str">
        <f>_xlfn.IFNA(VLOOKUP(B413, '[1]Landfall Stats'!A:G, 5, 0), "No LF")</f>
        <v>No LF</v>
      </c>
      <c r="I413" s="3" t="str">
        <f>_xlfn.IFNA(VLOOKUP(B413, '[1]Landfall Stats'!A:G, 6, 0), "No LF")</f>
        <v>No LF</v>
      </c>
      <c r="J413" s="4" t="s">
        <v>656</v>
      </c>
      <c r="K413" s="3">
        <v>0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2.75" customHeight="1" x14ac:dyDescent="0.2">
      <c r="A414" s="3">
        <v>2005</v>
      </c>
      <c r="B414" s="3" t="s">
        <v>657</v>
      </c>
      <c r="C414" s="3" t="str">
        <f>VLOOKUP($B414, '[1]HURDAT Query'!$A$1:$F$1030, 3, 0)</f>
        <v>ARLENE</v>
      </c>
      <c r="D414" s="3" t="str">
        <f>VLOOKUP($B414, '[1]HURDAT Query'!$A$1:$F$1030, 4, 0)</f>
        <v>NA</v>
      </c>
      <c r="E414" s="3" t="str">
        <f>VLOOKUP($B414, '[1]HURDAT Query'!$A$1:$F$1030, 5, 0)</f>
        <v>NA</v>
      </c>
      <c r="F414" s="3" t="str">
        <f>VLOOKUP($B414, '[1]HURDAT Query'!$A$1:$F$1030, 6, 0)</f>
        <v>NA</v>
      </c>
      <c r="G414" s="3" t="str">
        <f>_xlfn.IFNA(VLOOKUP(B414, '[1]Landfall Stats'!A:G, 7, 0), "No LF")</f>
        <v>No LF</v>
      </c>
      <c r="H414" s="3" t="str">
        <f>_xlfn.IFNA(VLOOKUP(B414, '[1]Landfall Stats'!A:G, 5, 0), "No LF")</f>
        <v>No LF</v>
      </c>
      <c r="I414" s="3" t="str">
        <f>_xlfn.IFNA(VLOOKUP(B414, '[1]Landfall Stats'!A:G, 6, 0), "No LF")</f>
        <v>No LF</v>
      </c>
      <c r="J414" s="4" t="s">
        <v>658</v>
      </c>
      <c r="K414" s="3">
        <v>1</v>
      </c>
      <c r="L414" s="3"/>
      <c r="M414" s="3"/>
      <c r="N414" s="3"/>
      <c r="O414" s="3"/>
      <c r="P414" s="3"/>
      <c r="Q414" s="3"/>
      <c r="R414" s="3">
        <v>1</v>
      </c>
      <c r="S414" s="3" t="s">
        <v>51</v>
      </c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2.75" customHeight="1" x14ac:dyDescent="0.2">
      <c r="A415" s="3">
        <v>2005</v>
      </c>
      <c r="B415" s="3" t="s">
        <v>659</v>
      </c>
      <c r="C415" s="3" t="str">
        <f>VLOOKUP($B415, '[1]HURDAT Query'!$A$1:$F$1030, 3, 0)</f>
        <v>BRET</v>
      </c>
      <c r="D415" s="3" t="str">
        <f>VLOOKUP($B415, '[1]HURDAT Query'!$A$1:$F$1030, 4, 0)</f>
        <v>NA</v>
      </c>
      <c r="E415" s="3" t="str">
        <f>VLOOKUP($B415, '[1]HURDAT Query'!$A$1:$F$1030, 5, 0)</f>
        <v>NA</v>
      </c>
      <c r="F415" s="3" t="str">
        <f>VLOOKUP($B415, '[1]HURDAT Query'!$A$1:$F$1030, 6, 0)</f>
        <v>NA</v>
      </c>
      <c r="G415" s="3" t="str">
        <f>_xlfn.IFNA(VLOOKUP(B415, '[1]Landfall Stats'!A:G, 7, 0), "No LF")</f>
        <v>No LF</v>
      </c>
      <c r="H415" s="3" t="str">
        <f>_xlfn.IFNA(VLOOKUP(B415, '[1]Landfall Stats'!A:G, 5, 0), "No LF")</f>
        <v>No LF</v>
      </c>
      <c r="I415" s="3" t="str">
        <f>_xlfn.IFNA(VLOOKUP(B415, '[1]Landfall Stats'!A:G, 6, 0), "No LF")</f>
        <v>No LF</v>
      </c>
      <c r="J415" s="4" t="s">
        <v>660</v>
      </c>
      <c r="K415" s="3">
        <v>0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2.75" customHeight="1" x14ac:dyDescent="0.2">
      <c r="A416" s="3">
        <v>2005</v>
      </c>
      <c r="B416" s="3" t="s">
        <v>661</v>
      </c>
      <c r="C416" s="3" t="str">
        <f>VLOOKUP($B416, '[1]HURDAT Query'!$A$1:$F$1030, 3, 0)</f>
        <v>CINDY</v>
      </c>
      <c r="D416" s="3">
        <f>VLOOKUP($B416, '[1]HURDAT Query'!$A$1:$F$1030, 4, 0)</f>
        <v>1</v>
      </c>
      <c r="E416" s="3">
        <f>VLOOKUP($B416, '[1]HURDAT Query'!$A$1:$F$1030, 5, 0)</f>
        <v>65</v>
      </c>
      <c r="F416" s="3">
        <f>VLOOKUP($B416, '[1]HURDAT Query'!$A$1:$F$1030, 6, 0)</f>
        <v>991</v>
      </c>
      <c r="G416" s="3">
        <f>_xlfn.IFNA(VLOOKUP(B416, '[1]Landfall Stats'!A:G, 7, 0), "No LF")</f>
        <v>1</v>
      </c>
      <c r="H416" s="3">
        <f>_xlfn.IFNA(VLOOKUP(B416, '[1]Landfall Stats'!A:G, 5, 0), "No LF")</f>
        <v>65</v>
      </c>
      <c r="I416" s="3">
        <f>_xlfn.IFNA(VLOOKUP(B416, '[1]Landfall Stats'!A:G, 6, 0), "No LF")</f>
        <v>991</v>
      </c>
      <c r="J416" s="4" t="s">
        <v>662</v>
      </c>
      <c r="K416" s="3">
        <v>1</v>
      </c>
      <c r="L416" s="3"/>
      <c r="M416" s="3"/>
      <c r="N416" s="3"/>
      <c r="O416" s="3"/>
      <c r="P416" s="3"/>
      <c r="Q416" s="3"/>
      <c r="R416" s="3"/>
      <c r="S416" s="3"/>
      <c r="T416" s="3">
        <v>1</v>
      </c>
      <c r="U416" s="3" t="s">
        <v>593</v>
      </c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2.75" customHeight="1" x14ac:dyDescent="0.2">
      <c r="A417" s="3">
        <v>2005</v>
      </c>
      <c r="B417" s="3" t="s">
        <v>663</v>
      </c>
      <c r="C417" s="3" t="str">
        <f>VLOOKUP($B417, '[1]HURDAT Query'!$A$1:$F$1030, 3, 0)</f>
        <v>DENNIS</v>
      </c>
      <c r="D417" s="3">
        <f>VLOOKUP($B417, '[1]HURDAT Query'!$A$1:$F$1030, 4, 0)</f>
        <v>4</v>
      </c>
      <c r="E417" s="3">
        <f>VLOOKUP($B417, '[1]HURDAT Query'!$A$1:$F$1030, 5, 0)</f>
        <v>130</v>
      </c>
      <c r="F417" s="3">
        <f>VLOOKUP($B417, '[1]HURDAT Query'!$A$1:$F$1030, 6, 0)</f>
        <v>930</v>
      </c>
      <c r="G417" s="3">
        <f>_xlfn.IFNA(VLOOKUP(B417, '[1]Landfall Stats'!A:G, 7, 0), "No LF")</f>
        <v>3</v>
      </c>
      <c r="H417" s="3">
        <f>_xlfn.IFNA(VLOOKUP(B417, '[1]Landfall Stats'!A:G, 5, 0), "No LF")</f>
        <v>105</v>
      </c>
      <c r="I417" s="3">
        <f>_xlfn.IFNA(VLOOKUP(B417, '[1]Landfall Stats'!A:G, 6, 0), "No LF")</f>
        <v>946</v>
      </c>
      <c r="J417" s="4" t="s">
        <v>664</v>
      </c>
      <c r="K417" s="3">
        <v>3</v>
      </c>
      <c r="L417" s="3"/>
      <c r="M417" s="3"/>
      <c r="N417" s="3">
        <v>1</v>
      </c>
      <c r="O417" s="3" t="s">
        <v>665</v>
      </c>
      <c r="P417" s="3">
        <v>1</v>
      </c>
      <c r="Q417" s="3" t="s">
        <v>51</v>
      </c>
      <c r="R417" s="3"/>
      <c r="S417" s="3"/>
      <c r="T417" s="3"/>
      <c r="U417" s="3"/>
      <c r="V417" s="3"/>
      <c r="W417" s="3"/>
      <c r="X417" s="3">
        <v>1</v>
      </c>
      <c r="Y417" s="3" t="s">
        <v>593</v>
      </c>
      <c r="Z417" s="3"/>
      <c r="AA417" s="3"/>
      <c r="AB417" s="3"/>
      <c r="AC417" s="3"/>
      <c r="AD417" s="3"/>
      <c r="AE417" s="3"/>
    </row>
    <row r="418" spans="1:31" ht="12.75" customHeight="1" x14ac:dyDescent="0.2">
      <c r="A418" s="3">
        <v>2005</v>
      </c>
      <c r="B418" s="3" t="s">
        <v>666</v>
      </c>
      <c r="C418" s="3" t="str">
        <f>VLOOKUP($B418, '[1]HURDAT Query'!$A$1:$F$1030, 3, 0)</f>
        <v>EMILY</v>
      </c>
      <c r="D418" s="3">
        <f>VLOOKUP($B418, '[1]HURDAT Query'!$A$1:$F$1030, 4, 0)</f>
        <v>5</v>
      </c>
      <c r="E418" s="3">
        <f>VLOOKUP($B418, '[1]HURDAT Query'!$A$1:$F$1030, 5, 0)</f>
        <v>140</v>
      </c>
      <c r="F418" s="3">
        <f>VLOOKUP($B418, '[1]HURDAT Query'!$A$1:$F$1030, 6, 0)</f>
        <v>929</v>
      </c>
      <c r="G418" s="3" t="str">
        <f>_xlfn.IFNA(VLOOKUP(B418, '[1]Landfall Stats'!A:G, 7, 0), "No LF")</f>
        <v>No LF</v>
      </c>
      <c r="H418" s="3" t="str">
        <f>_xlfn.IFNA(VLOOKUP(B418, '[1]Landfall Stats'!A:G, 5, 0), "No LF")</f>
        <v>No LF</v>
      </c>
      <c r="I418" s="3" t="str">
        <f>_xlfn.IFNA(VLOOKUP(B418, '[1]Landfall Stats'!A:G, 6, 0), "No LF")</f>
        <v>No LF</v>
      </c>
      <c r="J418" s="4" t="s">
        <v>667</v>
      </c>
      <c r="K418" s="3">
        <v>0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12.75" customHeight="1" x14ac:dyDescent="0.2">
      <c r="A419" s="3">
        <v>2005</v>
      </c>
      <c r="B419" s="3" t="s">
        <v>668</v>
      </c>
      <c r="C419" s="3" t="str">
        <f>VLOOKUP($B419, '[1]HURDAT Query'!$A$1:$F$1030, 3, 0)</f>
        <v>FRANKLIN</v>
      </c>
      <c r="D419" s="3" t="str">
        <f>VLOOKUP($B419, '[1]HURDAT Query'!$A$1:$F$1030, 4, 0)</f>
        <v>NA</v>
      </c>
      <c r="E419" s="3" t="str">
        <f>VLOOKUP($B419, '[1]HURDAT Query'!$A$1:$F$1030, 5, 0)</f>
        <v>NA</v>
      </c>
      <c r="F419" s="3" t="str">
        <f>VLOOKUP($B419, '[1]HURDAT Query'!$A$1:$F$1030, 6, 0)</f>
        <v>NA</v>
      </c>
      <c r="G419" s="3" t="str">
        <f>_xlfn.IFNA(VLOOKUP(B419, '[1]Landfall Stats'!A:G, 7, 0), "No LF")</f>
        <v>No LF</v>
      </c>
      <c r="H419" s="3" t="str">
        <f>_xlfn.IFNA(VLOOKUP(B419, '[1]Landfall Stats'!A:G, 5, 0), "No LF")</f>
        <v>No LF</v>
      </c>
      <c r="I419" s="3" t="str">
        <f>_xlfn.IFNA(VLOOKUP(B419, '[1]Landfall Stats'!A:G, 6, 0), "No LF")</f>
        <v>No LF</v>
      </c>
      <c r="J419" s="4" t="s">
        <v>669</v>
      </c>
      <c r="K419" s="3">
        <v>0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2.75" customHeight="1" x14ac:dyDescent="0.2">
      <c r="A420" s="3">
        <v>2005</v>
      </c>
      <c r="B420" s="3" t="s">
        <v>670</v>
      </c>
      <c r="C420" s="3" t="str">
        <f>VLOOKUP($B420, '[1]HURDAT Query'!$A$1:$F$1030, 3, 0)</f>
        <v>GERT</v>
      </c>
      <c r="D420" s="3" t="str">
        <f>VLOOKUP($B420, '[1]HURDAT Query'!$A$1:$F$1030, 4, 0)</f>
        <v>NA</v>
      </c>
      <c r="E420" s="3" t="str">
        <f>VLOOKUP($B420, '[1]HURDAT Query'!$A$1:$F$1030, 5, 0)</f>
        <v>NA</v>
      </c>
      <c r="F420" s="3" t="str">
        <f>VLOOKUP($B420, '[1]HURDAT Query'!$A$1:$F$1030, 6, 0)</f>
        <v>NA</v>
      </c>
      <c r="G420" s="3" t="str">
        <f>_xlfn.IFNA(VLOOKUP(B420, '[1]Landfall Stats'!A:G, 7, 0), "No LF")</f>
        <v>No LF</v>
      </c>
      <c r="H420" s="3" t="str">
        <f>_xlfn.IFNA(VLOOKUP(B420, '[1]Landfall Stats'!A:G, 5, 0), "No LF")</f>
        <v>No LF</v>
      </c>
      <c r="I420" s="3" t="str">
        <f>_xlfn.IFNA(VLOOKUP(B420, '[1]Landfall Stats'!A:G, 6, 0), "No LF")</f>
        <v>No LF</v>
      </c>
      <c r="J420" s="4" t="s">
        <v>671</v>
      </c>
      <c r="K420" s="3">
        <v>0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2.75" customHeight="1" x14ac:dyDescent="0.2">
      <c r="A421" s="3">
        <v>2005</v>
      </c>
      <c r="B421" s="3" t="s">
        <v>672</v>
      </c>
      <c r="C421" s="3" t="str">
        <f>VLOOKUP($B421, '[1]HURDAT Query'!$A$1:$F$1030, 3, 0)</f>
        <v>HARVEY</v>
      </c>
      <c r="D421" s="3" t="str">
        <f>VLOOKUP($B421, '[1]HURDAT Query'!$A$1:$F$1030, 4, 0)</f>
        <v>NA</v>
      </c>
      <c r="E421" s="3" t="str">
        <f>VLOOKUP($B421, '[1]HURDAT Query'!$A$1:$F$1030, 5, 0)</f>
        <v>NA</v>
      </c>
      <c r="F421" s="3" t="str">
        <f>VLOOKUP($B421, '[1]HURDAT Query'!$A$1:$F$1030, 6, 0)</f>
        <v>NA</v>
      </c>
      <c r="G421" s="3" t="str">
        <f>_xlfn.IFNA(VLOOKUP(B421, '[1]Landfall Stats'!A:G, 7, 0), "No LF")</f>
        <v>No LF</v>
      </c>
      <c r="H421" s="3" t="str">
        <f>_xlfn.IFNA(VLOOKUP(B421, '[1]Landfall Stats'!A:G, 5, 0), "No LF")</f>
        <v>No LF</v>
      </c>
      <c r="I421" s="3" t="str">
        <f>_xlfn.IFNA(VLOOKUP(B421, '[1]Landfall Stats'!A:G, 6, 0), "No LF")</f>
        <v>No LF</v>
      </c>
      <c r="J421" s="4" t="s">
        <v>673</v>
      </c>
      <c r="K421" s="3">
        <v>0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2.75" customHeight="1" x14ac:dyDescent="0.2">
      <c r="A422" s="3">
        <v>2005</v>
      </c>
      <c r="B422" s="3" t="s">
        <v>674</v>
      </c>
      <c r="C422" s="3" t="str">
        <f>VLOOKUP($B422, '[1]HURDAT Query'!$A$1:$F$1030, 3, 0)</f>
        <v>IRENE</v>
      </c>
      <c r="D422" s="3">
        <f>VLOOKUP($B422, '[1]HURDAT Query'!$A$1:$F$1030, 4, 0)</f>
        <v>2</v>
      </c>
      <c r="E422" s="3">
        <f>VLOOKUP($B422, '[1]HURDAT Query'!$A$1:$F$1030, 5, 0)</f>
        <v>90</v>
      </c>
      <c r="F422" s="3">
        <f>VLOOKUP($B422, '[1]HURDAT Query'!$A$1:$F$1030, 6, 0)</f>
        <v>970</v>
      </c>
      <c r="G422" s="3" t="str">
        <f>_xlfn.IFNA(VLOOKUP(B422, '[1]Landfall Stats'!A:G, 7, 0), "No LF")</f>
        <v>No LF</v>
      </c>
      <c r="H422" s="3" t="str">
        <f>_xlfn.IFNA(VLOOKUP(B422, '[1]Landfall Stats'!A:G, 5, 0), "No LF")</f>
        <v>No LF</v>
      </c>
      <c r="I422" s="3" t="str">
        <f>_xlfn.IFNA(VLOOKUP(B422, '[1]Landfall Stats'!A:G, 6, 0), "No LF")</f>
        <v>No LF</v>
      </c>
      <c r="J422" s="4" t="s">
        <v>675</v>
      </c>
      <c r="K422" s="3">
        <v>0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2.75" customHeight="1" x14ac:dyDescent="0.2">
      <c r="A423" s="3">
        <v>2005</v>
      </c>
      <c r="B423" s="3" t="s">
        <v>676</v>
      </c>
      <c r="C423" s="3" t="str">
        <f>VLOOKUP($B423, '[1]HURDAT Query'!$A$1:$F$1030, 3, 0)</f>
        <v>TEN</v>
      </c>
      <c r="D423" s="3" t="str">
        <f>VLOOKUP($B423, '[1]HURDAT Query'!$A$1:$F$1030, 4, 0)</f>
        <v>NA</v>
      </c>
      <c r="E423" s="3" t="str">
        <f>VLOOKUP($B423, '[1]HURDAT Query'!$A$1:$F$1030, 5, 0)</f>
        <v>NA</v>
      </c>
      <c r="F423" s="3" t="str">
        <f>VLOOKUP($B423, '[1]HURDAT Query'!$A$1:$F$1030, 6, 0)</f>
        <v>NA</v>
      </c>
      <c r="G423" s="3" t="str">
        <f>_xlfn.IFNA(VLOOKUP(B423, '[1]Landfall Stats'!A:G, 7, 0), "No LF")</f>
        <v>No LF</v>
      </c>
      <c r="H423" s="3" t="str">
        <f>_xlfn.IFNA(VLOOKUP(B423, '[1]Landfall Stats'!A:G, 5, 0), "No LF")</f>
        <v>No LF</v>
      </c>
      <c r="I423" s="3" t="str">
        <f>_xlfn.IFNA(VLOOKUP(B423, '[1]Landfall Stats'!A:G, 6, 0), "No LF")</f>
        <v>No LF</v>
      </c>
      <c r="J423" s="4" t="s">
        <v>677</v>
      </c>
      <c r="K423" s="3">
        <v>0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2.75" x14ac:dyDescent="0.2">
      <c r="A424" s="3">
        <v>2005</v>
      </c>
      <c r="B424" s="3" t="s">
        <v>678</v>
      </c>
      <c r="C424" s="3" t="str">
        <f>VLOOKUP($B424, '[1]HURDAT Query'!$A$1:$F$1030, 3, 0)</f>
        <v>JOSE</v>
      </c>
      <c r="D424" s="3" t="str">
        <f>VLOOKUP($B424, '[1]HURDAT Query'!$A$1:$F$1030, 4, 0)</f>
        <v>NA</v>
      </c>
      <c r="E424" s="3" t="str">
        <f>VLOOKUP($B424, '[1]HURDAT Query'!$A$1:$F$1030, 5, 0)</f>
        <v>NA</v>
      </c>
      <c r="F424" s="3" t="str">
        <f>VLOOKUP($B424, '[1]HURDAT Query'!$A$1:$F$1030, 6, 0)</f>
        <v>NA</v>
      </c>
      <c r="G424" s="3" t="str">
        <f>_xlfn.IFNA(VLOOKUP(B424, '[1]Landfall Stats'!A:G, 7, 0), "No LF")</f>
        <v>No LF</v>
      </c>
      <c r="H424" s="3" t="str">
        <f>_xlfn.IFNA(VLOOKUP(B424, '[1]Landfall Stats'!A:G, 5, 0), "No LF")</f>
        <v>No LF</v>
      </c>
      <c r="I424" s="3" t="str">
        <f>_xlfn.IFNA(VLOOKUP(B424, '[1]Landfall Stats'!A:G, 6, 0), "No LF")</f>
        <v>No LF</v>
      </c>
      <c r="J424" s="4" t="s">
        <v>679</v>
      </c>
      <c r="K424" s="3">
        <v>0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2.75" customHeight="1" x14ac:dyDescent="0.2">
      <c r="A425" s="3">
        <v>2005</v>
      </c>
      <c r="B425" s="3" t="s">
        <v>680</v>
      </c>
      <c r="C425" s="3" t="str">
        <f>VLOOKUP($B425, '[1]HURDAT Query'!$A$1:$F$1030, 3, 0)</f>
        <v>KATRINA</v>
      </c>
      <c r="D425" s="3">
        <f>VLOOKUP($B425, '[1]HURDAT Query'!$A$1:$F$1030, 4, 0)</f>
        <v>5</v>
      </c>
      <c r="E425" s="3">
        <f>VLOOKUP($B425, '[1]HURDAT Query'!$A$1:$F$1030, 5, 0)</f>
        <v>150</v>
      </c>
      <c r="F425" s="3">
        <f>VLOOKUP($B425, '[1]HURDAT Query'!$A$1:$F$1030, 6, 0)</f>
        <v>902</v>
      </c>
      <c r="G425" s="3">
        <f>_xlfn.IFNA(VLOOKUP(B425, '[1]Landfall Stats'!A:G, 7, 0), "No LF")</f>
        <v>3</v>
      </c>
      <c r="H425" s="3">
        <f>_xlfn.IFNA(VLOOKUP(B425, '[1]Landfall Stats'!A:G, 5, 0), "No LF")</f>
        <v>110</v>
      </c>
      <c r="I425" s="3">
        <f>_xlfn.IFNA(VLOOKUP(B425, '[1]Landfall Stats'!A:G, 6, 0), "No LF")</f>
        <v>920</v>
      </c>
      <c r="J425" s="4" t="s">
        <v>681</v>
      </c>
      <c r="K425" s="3">
        <v>520</v>
      </c>
      <c r="L425" s="3">
        <v>516</v>
      </c>
      <c r="M425" s="3" t="s">
        <v>682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>
        <v>3</v>
      </c>
      <c r="Y425" s="3" t="s">
        <v>51</v>
      </c>
      <c r="Z425" s="3">
        <v>1</v>
      </c>
      <c r="AA425" s="3" t="s">
        <v>42</v>
      </c>
      <c r="AB425" s="3"/>
      <c r="AC425" s="3"/>
      <c r="AD425" s="3"/>
      <c r="AE425" s="3"/>
    </row>
    <row r="426" spans="1:31" ht="12.75" customHeight="1" x14ac:dyDescent="0.2">
      <c r="A426" s="3">
        <v>2005</v>
      </c>
      <c r="B426" s="3" t="s">
        <v>683</v>
      </c>
      <c r="C426" s="3" t="str">
        <f>VLOOKUP($B426, '[1]HURDAT Query'!$A$1:$F$1030, 3, 0)</f>
        <v>LEE</v>
      </c>
      <c r="D426" s="3" t="str">
        <f>VLOOKUP($B426, '[1]HURDAT Query'!$A$1:$F$1030, 4, 0)</f>
        <v>NA</v>
      </c>
      <c r="E426" s="3" t="str">
        <f>VLOOKUP($B426, '[1]HURDAT Query'!$A$1:$F$1030, 5, 0)</f>
        <v>NA</v>
      </c>
      <c r="F426" s="3" t="str">
        <f>VLOOKUP($B426, '[1]HURDAT Query'!$A$1:$F$1030, 6, 0)</f>
        <v>NA</v>
      </c>
      <c r="G426" s="3" t="str">
        <f>_xlfn.IFNA(VLOOKUP(B426, '[1]Landfall Stats'!A:G, 7, 0), "No LF")</f>
        <v>No LF</v>
      </c>
      <c r="H426" s="3" t="str">
        <f>_xlfn.IFNA(VLOOKUP(B426, '[1]Landfall Stats'!A:G, 5, 0), "No LF")</f>
        <v>No LF</v>
      </c>
      <c r="I426" s="3" t="str">
        <f>_xlfn.IFNA(VLOOKUP(B426, '[1]Landfall Stats'!A:G, 6, 0), "No LF")</f>
        <v>No LF</v>
      </c>
      <c r="J426" s="4" t="s">
        <v>684</v>
      </c>
      <c r="K426" s="3">
        <v>0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2.75" customHeight="1" x14ac:dyDescent="0.2">
      <c r="A427" s="3">
        <v>2005</v>
      </c>
      <c r="B427" s="3" t="s">
        <v>685</v>
      </c>
      <c r="C427" s="3" t="str">
        <f>VLOOKUP($B427, '[1]HURDAT Query'!$A$1:$F$1030, 3, 0)</f>
        <v>MARIA</v>
      </c>
      <c r="D427" s="3">
        <f>VLOOKUP($B427, '[1]HURDAT Query'!$A$1:$F$1030, 4, 0)</f>
        <v>3</v>
      </c>
      <c r="E427" s="3">
        <f>VLOOKUP($B427, '[1]HURDAT Query'!$A$1:$F$1030, 5, 0)</f>
        <v>100</v>
      </c>
      <c r="F427" s="3">
        <f>VLOOKUP($B427, '[1]HURDAT Query'!$A$1:$F$1030, 6, 0)</f>
        <v>962</v>
      </c>
      <c r="G427" s="3" t="str">
        <f>_xlfn.IFNA(VLOOKUP(B427, '[1]Landfall Stats'!A:G, 7, 0), "No LF")</f>
        <v>No LF</v>
      </c>
      <c r="H427" s="3" t="str">
        <f>_xlfn.IFNA(VLOOKUP(B427, '[1]Landfall Stats'!A:G, 5, 0), "No LF")</f>
        <v>No LF</v>
      </c>
      <c r="I427" s="3" t="str">
        <f>_xlfn.IFNA(VLOOKUP(B427, '[1]Landfall Stats'!A:G, 6, 0), "No LF")</f>
        <v>No LF</v>
      </c>
      <c r="J427" s="4" t="s">
        <v>686</v>
      </c>
      <c r="K427" s="3">
        <v>0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2.75" customHeight="1" x14ac:dyDescent="0.2">
      <c r="A428" s="3">
        <v>2005</v>
      </c>
      <c r="B428" s="3" t="s">
        <v>687</v>
      </c>
      <c r="C428" s="3" t="str">
        <f>VLOOKUP($B428, '[1]HURDAT Query'!$A$1:$F$1030, 3, 0)</f>
        <v>NATE</v>
      </c>
      <c r="D428" s="3">
        <f>VLOOKUP($B428, '[1]HURDAT Query'!$A$1:$F$1030, 4, 0)</f>
        <v>1</v>
      </c>
      <c r="E428" s="3">
        <f>VLOOKUP($B428, '[1]HURDAT Query'!$A$1:$F$1030, 5, 0)</f>
        <v>80</v>
      </c>
      <c r="F428" s="3">
        <f>VLOOKUP($B428, '[1]HURDAT Query'!$A$1:$F$1030, 6, 0)</f>
        <v>979</v>
      </c>
      <c r="G428" s="3" t="str">
        <f>_xlfn.IFNA(VLOOKUP(B428, '[1]Landfall Stats'!A:G, 7, 0), "No LF")</f>
        <v>No LF</v>
      </c>
      <c r="H428" s="3" t="str">
        <f>_xlfn.IFNA(VLOOKUP(B428, '[1]Landfall Stats'!A:G, 5, 0), "No LF")</f>
        <v>No LF</v>
      </c>
      <c r="I428" s="3" t="str">
        <f>_xlfn.IFNA(VLOOKUP(B428, '[1]Landfall Stats'!A:G, 6, 0), "No LF")</f>
        <v>No LF</v>
      </c>
      <c r="J428" s="4" t="s">
        <v>688</v>
      </c>
      <c r="K428" s="3">
        <v>0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2.75" customHeight="1" x14ac:dyDescent="0.2">
      <c r="A429" s="3">
        <v>2005</v>
      </c>
      <c r="B429" s="3" t="s">
        <v>689</v>
      </c>
      <c r="C429" s="3" t="str">
        <f>VLOOKUP($B429, '[1]HURDAT Query'!$A$1:$F$1030, 3, 0)</f>
        <v>OPHELIA</v>
      </c>
      <c r="D429" s="3">
        <f>VLOOKUP($B429, '[1]HURDAT Query'!$A$1:$F$1030, 4, 0)</f>
        <v>1</v>
      </c>
      <c r="E429" s="3">
        <f>VLOOKUP($B429, '[1]HURDAT Query'!$A$1:$F$1030, 5, 0)</f>
        <v>75</v>
      </c>
      <c r="F429" s="3">
        <f>VLOOKUP($B429, '[1]HURDAT Query'!$A$1:$F$1030, 6, 0)</f>
        <v>976</v>
      </c>
      <c r="G429" s="3" t="str">
        <f>_xlfn.IFNA(VLOOKUP(B429, '[1]Landfall Stats'!A:G, 7, 0), "No LF")</f>
        <v>No LF</v>
      </c>
      <c r="H429" s="3" t="str">
        <f>_xlfn.IFNA(VLOOKUP(B429, '[1]Landfall Stats'!A:G, 5, 0), "No LF")</f>
        <v>No LF</v>
      </c>
      <c r="I429" s="3" t="str">
        <f>_xlfn.IFNA(VLOOKUP(B429, '[1]Landfall Stats'!A:G, 6, 0), "No LF")</f>
        <v>No LF</v>
      </c>
      <c r="J429" s="4" t="s">
        <v>690</v>
      </c>
      <c r="K429" s="3">
        <v>1</v>
      </c>
      <c r="L429" s="3"/>
      <c r="M429" s="3"/>
      <c r="N429" s="3">
        <v>1</v>
      </c>
      <c r="O429" s="3" t="s">
        <v>51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12.75" customHeight="1" x14ac:dyDescent="0.2">
      <c r="A430" s="3">
        <v>2005</v>
      </c>
      <c r="B430" s="3" t="s">
        <v>691</v>
      </c>
      <c r="C430" s="3" t="str">
        <f>VLOOKUP($B430, '[1]HURDAT Query'!$A$1:$F$1030, 3, 0)</f>
        <v>PHILIPPE</v>
      </c>
      <c r="D430" s="3">
        <f>VLOOKUP($B430, '[1]HURDAT Query'!$A$1:$F$1030, 4, 0)</f>
        <v>1</v>
      </c>
      <c r="E430" s="3">
        <f>VLOOKUP($B430, '[1]HURDAT Query'!$A$1:$F$1030, 5, 0)</f>
        <v>70</v>
      </c>
      <c r="F430" s="3">
        <f>VLOOKUP($B430, '[1]HURDAT Query'!$A$1:$F$1030, 6, 0)</f>
        <v>985</v>
      </c>
      <c r="G430" s="3" t="str">
        <f>_xlfn.IFNA(VLOOKUP(B430, '[1]Landfall Stats'!A:G, 7, 0), "No LF")</f>
        <v>No LF</v>
      </c>
      <c r="H430" s="3" t="str">
        <f>_xlfn.IFNA(VLOOKUP(B430, '[1]Landfall Stats'!A:G, 5, 0), "No LF")</f>
        <v>No LF</v>
      </c>
      <c r="I430" s="3" t="str">
        <f>_xlfn.IFNA(VLOOKUP(B430, '[1]Landfall Stats'!A:G, 6, 0), "No LF")</f>
        <v>No LF</v>
      </c>
      <c r="J430" s="4" t="s">
        <v>692</v>
      </c>
      <c r="K430" s="3">
        <v>0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2.75" customHeight="1" x14ac:dyDescent="0.2">
      <c r="A431" s="3">
        <v>2005</v>
      </c>
      <c r="B431" s="3" t="s">
        <v>693</v>
      </c>
      <c r="C431" s="3" t="str">
        <f>VLOOKUP($B431, '[1]HURDAT Query'!$A$1:$F$1030, 3, 0)</f>
        <v>RITA</v>
      </c>
      <c r="D431" s="3">
        <f>VLOOKUP($B431, '[1]HURDAT Query'!$A$1:$F$1030, 4, 0)</f>
        <v>5</v>
      </c>
      <c r="E431" s="3">
        <f>VLOOKUP($B431, '[1]HURDAT Query'!$A$1:$F$1030, 5, 0)</f>
        <v>155</v>
      </c>
      <c r="F431" s="3">
        <f>VLOOKUP($B431, '[1]HURDAT Query'!$A$1:$F$1030, 6, 0)</f>
        <v>895</v>
      </c>
      <c r="G431" s="3">
        <f>_xlfn.IFNA(VLOOKUP(B431, '[1]Landfall Stats'!A:G, 7, 0), "No LF")</f>
        <v>3</v>
      </c>
      <c r="H431" s="3">
        <f>_xlfn.IFNA(VLOOKUP(B431, '[1]Landfall Stats'!A:G, 5, 0), "No LF")</f>
        <v>100</v>
      </c>
      <c r="I431" s="3">
        <f>_xlfn.IFNA(VLOOKUP(B431, '[1]Landfall Stats'!A:G, 6, 0), "No LF")</f>
        <v>937</v>
      </c>
      <c r="J431" s="4" t="s">
        <v>694</v>
      </c>
      <c r="K431" s="3">
        <v>7</v>
      </c>
      <c r="L431" s="3"/>
      <c r="M431" s="3"/>
      <c r="N431" s="3"/>
      <c r="O431" s="3"/>
      <c r="P431" s="3"/>
      <c r="Q431" s="3"/>
      <c r="R431" s="3">
        <v>1</v>
      </c>
      <c r="S431" s="3" t="s">
        <v>51</v>
      </c>
      <c r="T431" s="3">
        <v>1</v>
      </c>
      <c r="U431" s="3" t="s">
        <v>37</v>
      </c>
      <c r="V431" s="3"/>
      <c r="W431" s="3"/>
      <c r="X431" s="3">
        <v>4</v>
      </c>
      <c r="Y431" s="3" t="s">
        <v>38</v>
      </c>
      <c r="Z431" s="3">
        <v>1</v>
      </c>
      <c r="AA431" s="3" t="s">
        <v>103</v>
      </c>
      <c r="AB431" s="3"/>
      <c r="AC431" s="3"/>
      <c r="AD431" s="3"/>
      <c r="AE431" s="3"/>
    </row>
    <row r="432" spans="1:31" ht="12.75" customHeight="1" x14ac:dyDescent="0.2">
      <c r="A432" s="3">
        <v>2005</v>
      </c>
      <c r="B432" s="3" t="s">
        <v>695</v>
      </c>
      <c r="C432" s="3" t="str">
        <f>VLOOKUP($B432, '[1]HURDAT Query'!$A$1:$F$1030, 3, 0)</f>
        <v>NINETEEN</v>
      </c>
      <c r="D432" s="3" t="str">
        <f>VLOOKUP($B432, '[1]HURDAT Query'!$A$1:$F$1030, 4, 0)</f>
        <v>NA</v>
      </c>
      <c r="E432" s="3" t="str">
        <f>VLOOKUP($B432, '[1]HURDAT Query'!$A$1:$F$1030, 5, 0)</f>
        <v>NA</v>
      </c>
      <c r="F432" s="3" t="str">
        <f>VLOOKUP($B432, '[1]HURDAT Query'!$A$1:$F$1030, 6, 0)</f>
        <v>NA</v>
      </c>
      <c r="G432" s="3" t="str">
        <f>_xlfn.IFNA(VLOOKUP(B432, '[1]Landfall Stats'!A:G, 7, 0), "No LF")</f>
        <v>No LF</v>
      </c>
      <c r="H432" s="3" t="str">
        <f>_xlfn.IFNA(VLOOKUP(B432, '[1]Landfall Stats'!A:G, 5, 0), "No LF")</f>
        <v>No LF</v>
      </c>
      <c r="I432" s="3" t="str">
        <f>_xlfn.IFNA(VLOOKUP(B432, '[1]Landfall Stats'!A:G, 6, 0), "No LF")</f>
        <v>No LF</v>
      </c>
      <c r="J432" s="4" t="s">
        <v>696</v>
      </c>
      <c r="K432" s="3">
        <v>0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2.75" customHeight="1" x14ac:dyDescent="0.2">
      <c r="A433" s="3">
        <v>2005</v>
      </c>
      <c r="B433" s="3" t="s">
        <v>697</v>
      </c>
      <c r="C433" s="3" t="str">
        <f>VLOOKUP($B433, '[1]HURDAT Query'!$A$1:$F$1030, 3, 0)</f>
        <v>STAN</v>
      </c>
      <c r="D433" s="3">
        <f>VLOOKUP($B433, '[1]HURDAT Query'!$A$1:$F$1030, 4, 0)</f>
        <v>1</v>
      </c>
      <c r="E433" s="3">
        <f>VLOOKUP($B433, '[1]HURDAT Query'!$A$1:$F$1030, 5, 0)</f>
        <v>70</v>
      </c>
      <c r="F433" s="3">
        <f>VLOOKUP($B433, '[1]HURDAT Query'!$A$1:$F$1030, 6, 0)</f>
        <v>977</v>
      </c>
      <c r="G433" s="3" t="str">
        <f>_xlfn.IFNA(VLOOKUP(B433, '[1]Landfall Stats'!A:G, 7, 0), "No LF")</f>
        <v>No LF</v>
      </c>
      <c r="H433" s="3" t="str">
        <f>_xlfn.IFNA(VLOOKUP(B433, '[1]Landfall Stats'!A:G, 5, 0), "No LF")</f>
        <v>No LF</v>
      </c>
      <c r="I433" s="3" t="str">
        <f>_xlfn.IFNA(VLOOKUP(B433, '[1]Landfall Stats'!A:G, 6, 0), "No LF")</f>
        <v>No LF</v>
      </c>
      <c r="J433" s="4" t="s">
        <v>698</v>
      </c>
      <c r="K433" s="3">
        <v>0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2.75" customHeight="1" x14ac:dyDescent="0.2">
      <c r="A434" s="3">
        <v>2005</v>
      </c>
      <c r="B434" s="3" t="s">
        <v>699</v>
      </c>
      <c r="C434" s="3" t="str">
        <f>VLOOKUP($B434, '[1]HURDAT Query'!$A$1:$F$1030, 3, 0)</f>
        <v>TAMMY</v>
      </c>
      <c r="D434" s="3" t="str">
        <f>VLOOKUP($B434, '[1]HURDAT Query'!$A$1:$F$1030, 4, 0)</f>
        <v>NA</v>
      </c>
      <c r="E434" s="3" t="str">
        <f>VLOOKUP($B434, '[1]HURDAT Query'!$A$1:$F$1030, 5, 0)</f>
        <v>NA</v>
      </c>
      <c r="F434" s="3" t="str">
        <f>VLOOKUP($B434, '[1]HURDAT Query'!$A$1:$F$1030, 6, 0)</f>
        <v>NA</v>
      </c>
      <c r="G434" s="3" t="str">
        <f>_xlfn.IFNA(VLOOKUP(B434, '[1]Landfall Stats'!A:G, 7, 0), "No LF")</f>
        <v>No LF</v>
      </c>
      <c r="H434" s="3" t="str">
        <f>_xlfn.IFNA(VLOOKUP(B434, '[1]Landfall Stats'!A:G, 5, 0), "No LF")</f>
        <v>No LF</v>
      </c>
      <c r="I434" s="3" t="str">
        <f>_xlfn.IFNA(VLOOKUP(B434, '[1]Landfall Stats'!A:G, 6, 0), "No LF")</f>
        <v>No LF</v>
      </c>
      <c r="J434" s="4" t="s">
        <v>700</v>
      </c>
      <c r="K434" s="3">
        <v>0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2.75" customHeight="1" x14ac:dyDescent="0.2">
      <c r="A435" s="3">
        <v>2005</v>
      </c>
      <c r="B435" s="3" t="s">
        <v>701</v>
      </c>
      <c r="C435" s="3" t="str">
        <f>VLOOKUP($B435, '[1]HURDAT Query'!$A$1:$F$1030, 3, 0)</f>
        <v>TWENTY-TWO</v>
      </c>
      <c r="D435" s="3" t="str">
        <f>VLOOKUP($B435, '[1]HURDAT Query'!$A$1:$F$1030, 4, 0)</f>
        <v>NA</v>
      </c>
      <c r="E435" s="3" t="str">
        <f>VLOOKUP($B435, '[1]HURDAT Query'!$A$1:$F$1030, 5, 0)</f>
        <v>NA</v>
      </c>
      <c r="F435" s="3" t="str">
        <f>VLOOKUP($B435, '[1]HURDAT Query'!$A$1:$F$1030, 6, 0)</f>
        <v>NA</v>
      </c>
      <c r="G435" s="3" t="str">
        <f>_xlfn.IFNA(VLOOKUP(B435, '[1]Landfall Stats'!A:G, 7, 0), "No LF")</f>
        <v>No LF</v>
      </c>
      <c r="H435" s="3" t="str">
        <f>_xlfn.IFNA(VLOOKUP(B435, '[1]Landfall Stats'!A:G, 5, 0), "No LF")</f>
        <v>No LF</v>
      </c>
      <c r="I435" s="3" t="str">
        <f>_xlfn.IFNA(VLOOKUP(B435, '[1]Landfall Stats'!A:G, 6, 0), "No LF")</f>
        <v>No LF</v>
      </c>
      <c r="J435" s="4" t="s">
        <v>702</v>
      </c>
      <c r="K435" s="3">
        <v>0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2.75" customHeight="1" x14ac:dyDescent="0.2">
      <c r="A436" s="3">
        <v>2005</v>
      </c>
      <c r="B436" s="3" t="s">
        <v>703</v>
      </c>
      <c r="C436" s="3" t="str">
        <f>VLOOKUP($B436, '[1]HURDAT Query'!$A$1:$F$1030, 3, 0)</f>
        <v>VINCE</v>
      </c>
      <c r="D436" s="3">
        <f>VLOOKUP($B436, '[1]HURDAT Query'!$A$1:$F$1030, 4, 0)</f>
        <v>1</v>
      </c>
      <c r="E436" s="3">
        <f>VLOOKUP($B436, '[1]HURDAT Query'!$A$1:$F$1030, 5, 0)</f>
        <v>65</v>
      </c>
      <c r="F436" s="3">
        <f>VLOOKUP($B436, '[1]HURDAT Query'!$A$1:$F$1030, 6, 0)</f>
        <v>988</v>
      </c>
      <c r="G436" s="3" t="str">
        <f>_xlfn.IFNA(VLOOKUP(B436, '[1]Landfall Stats'!A:G, 7, 0), "No LF")</f>
        <v>No LF</v>
      </c>
      <c r="H436" s="3" t="str">
        <f>_xlfn.IFNA(VLOOKUP(B436, '[1]Landfall Stats'!A:G, 5, 0), "No LF")</f>
        <v>No LF</v>
      </c>
      <c r="I436" s="3" t="str">
        <f>_xlfn.IFNA(VLOOKUP(B436, '[1]Landfall Stats'!A:G, 6, 0), "No LF")</f>
        <v>No LF</v>
      </c>
      <c r="J436" s="4" t="s">
        <v>704</v>
      </c>
      <c r="K436" s="3">
        <v>0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2.75" customHeight="1" x14ac:dyDescent="0.2">
      <c r="A437" s="3">
        <v>2005</v>
      </c>
      <c r="B437" s="3" t="s">
        <v>705</v>
      </c>
      <c r="C437" s="3" t="str">
        <f>VLOOKUP($B437, '[1]HURDAT Query'!$A$1:$F$1030, 3, 0)</f>
        <v>WILMA</v>
      </c>
      <c r="D437" s="3">
        <f>VLOOKUP($B437, '[1]HURDAT Query'!$A$1:$F$1030, 4, 0)</f>
        <v>5</v>
      </c>
      <c r="E437" s="3">
        <f>VLOOKUP($B437, '[1]HURDAT Query'!$A$1:$F$1030, 5, 0)</f>
        <v>160</v>
      </c>
      <c r="F437" s="3">
        <f>VLOOKUP($B437, '[1]HURDAT Query'!$A$1:$F$1030, 6, 0)</f>
        <v>882</v>
      </c>
      <c r="G437" s="3">
        <f>_xlfn.IFNA(VLOOKUP(B437, '[1]Landfall Stats'!A:G, 7, 0), "No LF")</f>
        <v>3</v>
      </c>
      <c r="H437" s="3">
        <f>_xlfn.IFNA(VLOOKUP(B437, '[1]Landfall Stats'!A:G, 5, 0), "No LF")</f>
        <v>105</v>
      </c>
      <c r="I437" s="3">
        <f>_xlfn.IFNA(VLOOKUP(B437, '[1]Landfall Stats'!A:G, 6, 0), "No LF")</f>
        <v>950</v>
      </c>
      <c r="J437" s="4" t="s">
        <v>706</v>
      </c>
      <c r="K437" s="3">
        <v>5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>
        <v>5</v>
      </c>
      <c r="AE437" s="3" t="s">
        <v>42</v>
      </c>
    </row>
    <row r="438" spans="1:31" ht="12.75" customHeight="1" x14ac:dyDescent="0.2">
      <c r="A438" s="3">
        <v>2005</v>
      </c>
      <c r="B438" s="3" t="s">
        <v>707</v>
      </c>
      <c r="C438" s="3" t="str">
        <f>VLOOKUP($B438, '[1]HURDAT Query'!$A$1:$F$1030, 3, 0)</f>
        <v>ALPHA</v>
      </c>
      <c r="D438" s="3" t="str">
        <f>VLOOKUP($B438, '[1]HURDAT Query'!$A$1:$F$1030, 4, 0)</f>
        <v>NA</v>
      </c>
      <c r="E438" s="3" t="str">
        <f>VLOOKUP($B438, '[1]HURDAT Query'!$A$1:$F$1030, 5, 0)</f>
        <v>NA</v>
      </c>
      <c r="F438" s="3" t="str">
        <f>VLOOKUP($B438, '[1]HURDAT Query'!$A$1:$F$1030, 6, 0)</f>
        <v>NA</v>
      </c>
      <c r="G438" s="3" t="str">
        <f>_xlfn.IFNA(VLOOKUP(B438, '[1]Landfall Stats'!A:G, 7, 0), "No LF")</f>
        <v>No LF</v>
      </c>
      <c r="H438" s="3" t="str">
        <f>_xlfn.IFNA(VLOOKUP(B438, '[1]Landfall Stats'!A:G, 5, 0), "No LF")</f>
        <v>No LF</v>
      </c>
      <c r="I438" s="3" t="str">
        <f>_xlfn.IFNA(VLOOKUP(B438, '[1]Landfall Stats'!A:G, 6, 0), "No LF")</f>
        <v>No LF</v>
      </c>
      <c r="J438" s="4" t="s">
        <v>708</v>
      </c>
      <c r="K438" s="3">
        <v>0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2.75" customHeight="1" x14ac:dyDescent="0.2">
      <c r="A439" s="3">
        <v>2005</v>
      </c>
      <c r="B439" s="3" t="s">
        <v>709</v>
      </c>
      <c r="C439" s="3" t="str">
        <f>VLOOKUP($B439, '[1]HURDAT Query'!$A$1:$F$1030, 3, 0)</f>
        <v>BETA</v>
      </c>
      <c r="D439" s="3">
        <f>VLOOKUP($B439, '[1]HURDAT Query'!$A$1:$F$1030, 4, 0)</f>
        <v>3</v>
      </c>
      <c r="E439" s="3">
        <f>VLOOKUP($B439, '[1]HURDAT Query'!$A$1:$F$1030, 5, 0)</f>
        <v>100</v>
      </c>
      <c r="F439" s="3">
        <f>VLOOKUP($B439, '[1]HURDAT Query'!$A$1:$F$1030, 6, 0)</f>
        <v>962</v>
      </c>
      <c r="G439" s="3" t="str">
        <f>_xlfn.IFNA(VLOOKUP(B439, '[1]Landfall Stats'!A:G, 7, 0), "No LF")</f>
        <v>No LF</v>
      </c>
      <c r="H439" s="3" t="str">
        <f>_xlfn.IFNA(VLOOKUP(B439, '[1]Landfall Stats'!A:G, 5, 0), "No LF")</f>
        <v>No LF</v>
      </c>
      <c r="I439" s="3" t="str">
        <f>_xlfn.IFNA(VLOOKUP(B439, '[1]Landfall Stats'!A:G, 6, 0), "No LF")</f>
        <v>No LF</v>
      </c>
      <c r="J439" s="4" t="s">
        <v>710</v>
      </c>
      <c r="K439" s="3">
        <v>0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2.75" customHeight="1" x14ac:dyDescent="0.2">
      <c r="A440" s="3">
        <v>2005</v>
      </c>
      <c r="B440" s="3" t="s">
        <v>711</v>
      </c>
      <c r="C440" s="3" t="str">
        <f>VLOOKUP($B440, '[1]HURDAT Query'!$A$1:$F$1030, 3, 0)</f>
        <v>GAMMA</v>
      </c>
      <c r="D440" s="3" t="str">
        <f>VLOOKUP($B440, '[1]HURDAT Query'!$A$1:$F$1030, 4, 0)</f>
        <v>NA</v>
      </c>
      <c r="E440" s="3" t="str">
        <f>VLOOKUP($B440, '[1]HURDAT Query'!$A$1:$F$1030, 5, 0)</f>
        <v>NA</v>
      </c>
      <c r="F440" s="3" t="str">
        <f>VLOOKUP($B440, '[1]HURDAT Query'!$A$1:$F$1030, 6, 0)</f>
        <v>NA</v>
      </c>
      <c r="G440" s="3" t="str">
        <f>_xlfn.IFNA(VLOOKUP(B440, '[1]Landfall Stats'!A:G, 7, 0), "No LF")</f>
        <v>No LF</v>
      </c>
      <c r="H440" s="3" t="str">
        <f>_xlfn.IFNA(VLOOKUP(B440, '[1]Landfall Stats'!A:G, 5, 0), "No LF")</f>
        <v>No LF</v>
      </c>
      <c r="I440" s="3" t="str">
        <f>_xlfn.IFNA(VLOOKUP(B440, '[1]Landfall Stats'!A:G, 6, 0), "No LF")</f>
        <v>No LF</v>
      </c>
      <c r="J440" s="4" t="s">
        <v>712</v>
      </c>
      <c r="K440" s="3">
        <v>0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2.75" customHeight="1" x14ac:dyDescent="0.2">
      <c r="A441" s="3">
        <v>2005</v>
      </c>
      <c r="B441" s="3" t="s">
        <v>713</v>
      </c>
      <c r="C441" s="3" t="str">
        <f>VLOOKUP($B441, '[1]HURDAT Query'!$A$1:$F$1030, 3, 0)</f>
        <v>DELTA</v>
      </c>
      <c r="D441" s="3" t="str">
        <f>VLOOKUP($B441, '[1]HURDAT Query'!$A$1:$F$1030, 4, 0)</f>
        <v>NA</v>
      </c>
      <c r="E441" s="3" t="str">
        <f>VLOOKUP($B441, '[1]HURDAT Query'!$A$1:$F$1030, 5, 0)</f>
        <v>NA</v>
      </c>
      <c r="F441" s="3" t="str">
        <f>VLOOKUP($B441, '[1]HURDAT Query'!$A$1:$F$1030, 6, 0)</f>
        <v>NA</v>
      </c>
      <c r="G441" s="3" t="str">
        <f>_xlfn.IFNA(VLOOKUP(B441, '[1]Landfall Stats'!A:G, 7, 0), "No LF")</f>
        <v>No LF</v>
      </c>
      <c r="H441" s="3" t="str">
        <f>_xlfn.IFNA(VLOOKUP(B441, '[1]Landfall Stats'!A:G, 5, 0), "No LF")</f>
        <v>No LF</v>
      </c>
      <c r="I441" s="3" t="str">
        <f>_xlfn.IFNA(VLOOKUP(B441, '[1]Landfall Stats'!A:G, 6, 0), "No LF")</f>
        <v>No LF</v>
      </c>
      <c r="J441" s="4" t="s">
        <v>714</v>
      </c>
      <c r="K441" s="3">
        <v>0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2.75" customHeight="1" x14ac:dyDescent="0.2">
      <c r="A442" s="3">
        <v>2005</v>
      </c>
      <c r="B442" s="3" t="s">
        <v>715</v>
      </c>
      <c r="C442" s="3" t="str">
        <f>VLOOKUP($B442, '[1]HURDAT Query'!$A$1:$F$1030, 3, 0)</f>
        <v>EPSILON</v>
      </c>
      <c r="D442" s="3">
        <f>VLOOKUP($B442, '[1]HURDAT Query'!$A$1:$F$1030, 4, 0)</f>
        <v>1</v>
      </c>
      <c r="E442" s="3">
        <f>VLOOKUP($B442, '[1]HURDAT Query'!$A$1:$F$1030, 5, 0)</f>
        <v>75</v>
      </c>
      <c r="F442" s="3">
        <f>VLOOKUP($B442, '[1]HURDAT Query'!$A$1:$F$1030, 6, 0)</f>
        <v>981</v>
      </c>
      <c r="G442" s="3" t="str">
        <f>_xlfn.IFNA(VLOOKUP(B442, '[1]Landfall Stats'!A:G, 7, 0), "No LF")</f>
        <v>No LF</v>
      </c>
      <c r="H442" s="3" t="str">
        <f>_xlfn.IFNA(VLOOKUP(B442, '[1]Landfall Stats'!A:G, 5, 0), "No LF")</f>
        <v>No LF</v>
      </c>
      <c r="I442" s="3" t="str">
        <f>_xlfn.IFNA(VLOOKUP(B442, '[1]Landfall Stats'!A:G, 6, 0), "No LF")</f>
        <v>No LF</v>
      </c>
      <c r="J442" s="4" t="s">
        <v>716</v>
      </c>
      <c r="K442" s="3">
        <v>0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2.75" customHeight="1" x14ac:dyDescent="0.2">
      <c r="A443" s="3">
        <v>2005</v>
      </c>
      <c r="B443" s="3" t="s">
        <v>717</v>
      </c>
      <c r="C443" s="3" t="str">
        <f>VLOOKUP($B443, '[1]HURDAT Query'!$A$1:$F$1030, 3, 0)</f>
        <v>ZETA</v>
      </c>
      <c r="D443" s="3" t="str">
        <f>VLOOKUP($B443, '[1]HURDAT Query'!$A$1:$F$1030, 4, 0)</f>
        <v>NA</v>
      </c>
      <c r="E443" s="3" t="str">
        <f>VLOOKUP($B443, '[1]HURDAT Query'!$A$1:$F$1030, 5, 0)</f>
        <v>NA</v>
      </c>
      <c r="F443" s="3" t="str">
        <f>VLOOKUP($B443, '[1]HURDAT Query'!$A$1:$F$1030, 6, 0)</f>
        <v>NA</v>
      </c>
      <c r="G443" s="3" t="str">
        <f>_xlfn.IFNA(VLOOKUP(B443, '[1]Landfall Stats'!A:G, 7, 0), "No LF")</f>
        <v>No LF</v>
      </c>
      <c r="H443" s="3" t="str">
        <f>_xlfn.IFNA(VLOOKUP(B443, '[1]Landfall Stats'!A:G, 5, 0), "No LF")</f>
        <v>No LF</v>
      </c>
      <c r="I443" s="3" t="str">
        <f>_xlfn.IFNA(VLOOKUP(B443, '[1]Landfall Stats'!A:G, 6, 0), "No LF")</f>
        <v>No LF</v>
      </c>
      <c r="J443" s="4" t="s">
        <v>718</v>
      </c>
      <c r="K443" s="3">
        <v>0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2.75" customHeight="1" x14ac:dyDescent="0.2">
      <c r="A444" s="3">
        <v>2006</v>
      </c>
      <c r="B444" s="3" t="s">
        <v>719</v>
      </c>
      <c r="C444" s="3" t="str">
        <f>VLOOKUP($B444, '[1]HURDAT Query'!$A$1:$F$1030, 3, 0)</f>
        <v>ALBERTO</v>
      </c>
      <c r="D444" s="3" t="str">
        <f>VLOOKUP($B444, '[1]HURDAT Query'!$A$1:$F$1030, 4, 0)</f>
        <v>NA</v>
      </c>
      <c r="E444" s="3" t="str">
        <f>VLOOKUP($B444, '[1]HURDAT Query'!$A$1:$F$1030, 5, 0)</f>
        <v>NA</v>
      </c>
      <c r="F444" s="3" t="str">
        <f>VLOOKUP($B444, '[1]HURDAT Query'!$A$1:$F$1030, 6, 0)</f>
        <v>NA</v>
      </c>
      <c r="G444" s="3" t="str">
        <f>_xlfn.IFNA(VLOOKUP(B444, '[1]Landfall Stats'!A:G, 7, 0), "No LF")</f>
        <v>No LF</v>
      </c>
      <c r="H444" s="3" t="str">
        <f>_xlfn.IFNA(VLOOKUP(B444, '[1]Landfall Stats'!A:G, 5, 0), "No LF")</f>
        <v>No LF</v>
      </c>
      <c r="I444" s="3" t="str">
        <f>_xlfn.IFNA(VLOOKUP(B444, '[1]Landfall Stats'!A:G, 6, 0), "No LF")</f>
        <v>No LF</v>
      </c>
      <c r="J444" s="4" t="s">
        <v>720</v>
      </c>
      <c r="K444" s="3">
        <v>1</v>
      </c>
      <c r="L444" s="3"/>
      <c r="M444" s="3"/>
      <c r="N444" s="3"/>
      <c r="O444" s="3"/>
      <c r="P444" s="3"/>
      <c r="Q444" s="3"/>
      <c r="R444" s="3"/>
      <c r="S444" s="3"/>
      <c r="T444" s="3">
        <v>1</v>
      </c>
      <c r="U444" s="3" t="s">
        <v>290</v>
      </c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2.75" customHeight="1" x14ac:dyDescent="0.2">
      <c r="A445" s="3">
        <v>2006</v>
      </c>
      <c r="B445" s="3" t="s">
        <v>721</v>
      </c>
      <c r="C445" s="3" t="str">
        <f>VLOOKUP($B445, '[1]HURDAT Query'!$A$1:$F$1030, 3, 0)</f>
        <v>BERYL</v>
      </c>
      <c r="D445" s="3" t="str">
        <f>VLOOKUP($B445, '[1]HURDAT Query'!$A$1:$F$1030, 4, 0)</f>
        <v>NA</v>
      </c>
      <c r="E445" s="3" t="str">
        <f>VLOOKUP($B445, '[1]HURDAT Query'!$A$1:$F$1030, 5, 0)</f>
        <v>NA</v>
      </c>
      <c r="F445" s="3" t="str">
        <f>VLOOKUP($B445, '[1]HURDAT Query'!$A$1:$F$1030, 6, 0)</f>
        <v>NA</v>
      </c>
      <c r="G445" s="3" t="str">
        <f>_xlfn.IFNA(VLOOKUP(B445, '[1]Landfall Stats'!A:G, 7, 0), "No LF")</f>
        <v>No LF</v>
      </c>
      <c r="H445" s="3" t="str">
        <f>_xlfn.IFNA(VLOOKUP(B445, '[1]Landfall Stats'!A:G, 5, 0), "No LF")</f>
        <v>No LF</v>
      </c>
      <c r="I445" s="3" t="str">
        <f>_xlfn.IFNA(VLOOKUP(B445, '[1]Landfall Stats'!A:G, 6, 0), "No LF")</f>
        <v>No LF</v>
      </c>
      <c r="J445" s="4" t="s">
        <v>722</v>
      </c>
      <c r="K445" s="3">
        <v>0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2.75" customHeight="1" x14ac:dyDescent="0.2">
      <c r="A446" s="3">
        <v>2006</v>
      </c>
      <c r="B446" s="3" t="s">
        <v>723</v>
      </c>
      <c r="C446" s="3" t="str">
        <f>VLOOKUP($B446, '[1]HURDAT Query'!$A$1:$F$1030, 3, 0)</f>
        <v>CHRIS</v>
      </c>
      <c r="D446" s="3" t="str">
        <f>VLOOKUP($B446, '[1]HURDAT Query'!$A$1:$F$1030, 4, 0)</f>
        <v>NA</v>
      </c>
      <c r="E446" s="3" t="str">
        <f>VLOOKUP($B446, '[1]HURDAT Query'!$A$1:$F$1030, 5, 0)</f>
        <v>NA</v>
      </c>
      <c r="F446" s="3" t="str">
        <f>VLOOKUP($B446, '[1]HURDAT Query'!$A$1:$F$1030, 6, 0)</f>
        <v>NA</v>
      </c>
      <c r="G446" s="3" t="str">
        <f>_xlfn.IFNA(VLOOKUP(B446, '[1]Landfall Stats'!A:G, 7, 0), "No LF")</f>
        <v>No LF</v>
      </c>
      <c r="H446" s="3" t="str">
        <f>_xlfn.IFNA(VLOOKUP(B446, '[1]Landfall Stats'!A:G, 5, 0), "No LF")</f>
        <v>No LF</v>
      </c>
      <c r="I446" s="3" t="str">
        <f>_xlfn.IFNA(VLOOKUP(B446, '[1]Landfall Stats'!A:G, 6, 0), "No LF")</f>
        <v>No LF</v>
      </c>
      <c r="J446" s="4" t="s">
        <v>724</v>
      </c>
      <c r="K446" s="3">
        <v>0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2.75" customHeight="1" x14ac:dyDescent="0.2">
      <c r="A447" s="3">
        <v>2006</v>
      </c>
      <c r="B447" s="3" t="s">
        <v>725</v>
      </c>
      <c r="C447" s="3" t="str">
        <f>VLOOKUP($B447, '[1]HURDAT Query'!$A$1:$F$1030, 3, 0)</f>
        <v>DEBBY</v>
      </c>
      <c r="D447" s="3" t="str">
        <f>VLOOKUP($B447, '[1]HURDAT Query'!$A$1:$F$1030, 4, 0)</f>
        <v>NA</v>
      </c>
      <c r="E447" s="3" t="str">
        <f>VLOOKUP($B447, '[1]HURDAT Query'!$A$1:$F$1030, 5, 0)</f>
        <v>NA</v>
      </c>
      <c r="F447" s="3" t="str">
        <f>VLOOKUP($B447, '[1]HURDAT Query'!$A$1:$F$1030, 6, 0)</f>
        <v>NA</v>
      </c>
      <c r="G447" s="3" t="str">
        <f>_xlfn.IFNA(VLOOKUP(B447, '[1]Landfall Stats'!A:G, 7, 0), "No LF")</f>
        <v>No LF</v>
      </c>
      <c r="H447" s="3" t="str">
        <f>_xlfn.IFNA(VLOOKUP(B447, '[1]Landfall Stats'!A:G, 5, 0), "No LF")</f>
        <v>No LF</v>
      </c>
      <c r="I447" s="3" t="str">
        <f>_xlfn.IFNA(VLOOKUP(B447, '[1]Landfall Stats'!A:G, 6, 0), "No LF")</f>
        <v>No LF</v>
      </c>
      <c r="J447" s="4" t="s">
        <v>726</v>
      </c>
      <c r="K447" s="3">
        <v>0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2.75" customHeight="1" x14ac:dyDescent="0.2">
      <c r="A448" s="3">
        <v>2006</v>
      </c>
      <c r="B448" s="3" t="s">
        <v>727</v>
      </c>
      <c r="C448" s="3" t="str">
        <f>VLOOKUP($B448, '[1]HURDAT Query'!$A$1:$F$1030, 3, 0)</f>
        <v>ERNESTO</v>
      </c>
      <c r="D448" s="3">
        <f>VLOOKUP($B448, '[1]HURDAT Query'!$A$1:$F$1030, 4, 0)</f>
        <v>1</v>
      </c>
      <c r="E448" s="3">
        <f>VLOOKUP($B448, '[1]HURDAT Query'!$A$1:$F$1030, 5, 0)</f>
        <v>65</v>
      </c>
      <c r="F448" s="3">
        <f>VLOOKUP($B448, '[1]HURDAT Query'!$A$1:$F$1030, 6, 0)</f>
        <v>992</v>
      </c>
      <c r="G448" s="3" t="str">
        <f>_xlfn.IFNA(VLOOKUP(B448, '[1]Landfall Stats'!A:G, 7, 0), "No LF")</f>
        <v>NA</v>
      </c>
      <c r="H448" s="3">
        <f>_xlfn.IFNA(VLOOKUP(B448, '[1]Landfall Stats'!A:G, 5, 0), "No LF")</f>
        <v>60</v>
      </c>
      <c r="I448" s="3">
        <f>_xlfn.IFNA(VLOOKUP(B448, '[1]Landfall Stats'!A:G, 6, 0), "No LF")</f>
        <v>985</v>
      </c>
      <c r="J448" s="4" t="s">
        <v>728</v>
      </c>
      <c r="K448" s="3">
        <v>0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2.75" customHeight="1" x14ac:dyDescent="0.2">
      <c r="A449" s="3">
        <v>2006</v>
      </c>
      <c r="B449" s="3" t="s">
        <v>729</v>
      </c>
      <c r="C449" s="3" t="str">
        <f>VLOOKUP($B449, '[1]HURDAT Query'!$A$1:$F$1030, 3, 0)</f>
        <v>FLORENCE</v>
      </c>
      <c r="D449" s="3">
        <f>VLOOKUP($B449, '[1]HURDAT Query'!$A$1:$F$1030, 4, 0)</f>
        <v>1</v>
      </c>
      <c r="E449" s="3">
        <f>VLOOKUP($B449, '[1]HURDAT Query'!$A$1:$F$1030, 5, 0)</f>
        <v>80</v>
      </c>
      <c r="F449" s="3">
        <f>VLOOKUP($B449, '[1]HURDAT Query'!$A$1:$F$1030, 6, 0)</f>
        <v>974</v>
      </c>
      <c r="G449" s="3" t="str">
        <f>_xlfn.IFNA(VLOOKUP(B449, '[1]Landfall Stats'!A:G, 7, 0), "No LF")</f>
        <v>No LF</v>
      </c>
      <c r="H449" s="3" t="str">
        <f>_xlfn.IFNA(VLOOKUP(B449, '[1]Landfall Stats'!A:G, 5, 0), "No LF")</f>
        <v>No LF</v>
      </c>
      <c r="I449" s="3" t="str">
        <f>_xlfn.IFNA(VLOOKUP(B449, '[1]Landfall Stats'!A:G, 6, 0), "No LF")</f>
        <v>No LF</v>
      </c>
      <c r="J449" s="4" t="s">
        <v>730</v>
      </c>
      <c r="K449" s="3">
        <v>0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2.75" customHeight="1" x14ac:dyDescent="0.2">
      <c r="A450" s="3">
        <v>2006</v>
      </c>
      <c r="B450" s="3" t="s">
        <v>731</v>
      </c>
      <c r="C450" s="3" t="str">
        <f>VLOOKUP($B450, '[1]HURDAT Query'!$A$1:$F$1030, 3, 0)</f>
        <v>GORDON</v>
      </c>
      <c r="D450" s="3">
        <f>VLOOKUP($B450, '[1]HURDAT Query'!$A$1:$F$1030, 4, 0)</f>
        <v>3</v>
      </c>
      <c r="E450" s="3">
        <f>VLOOKUP($B450, '[1]HURDAT Query'!$A$1:$F$1030, 5, 0)</f>
        <v>105</v>
      </c>
      <c r="F450" s="3">
        <f>VLOOKUP($B450, '[1]HURDAT Query'!$A$1:$F$1030, 6, 0)</f>
        <v>955</v>
      </c>
      <c r="G450" s="3" t="str">
        <f>_xlfn.IFNA(VLOOKUP(B450, '[1]Landfall Stats'!A:G, 7, 0), "No LF")</f>
        <v>No LF</v>
      </c>
      <c r="H450" s="3" t="str">
        <f>_xlfn.IFNA(VLOOKUP(B450, '[1]Landfall Stats'!A:G, 5, 0), "No LF")</f>
        <v>No LF</v>
      </c>
      <c r="I450" s="3" t="str">
        <f>_xlfn.IFNA(VLOOKUP(B450, '[1]Landfall Stats'!A:G, 6, 0), "No LF")</f>
        <v>No LF</v>
      </c>
      <c r="J450" s="4" t="s">
        <v>732</v>
      </c>
      <c r="K450" s="3">
        <v>0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2.75" customHeight="1" x14ac:dyDescent="0.2">
      <c r="A451" s="3">
        <v>2006</v>
      </c>
      <c r="B451" s="3" t="s">
        <v>733</v>
      </c>
      <c r="C451" s="3" t="str">
        <f>VLOOKUP($B451, '[1]HURDAT Query'!$A$1:$F$1030, 3, 0)</f>
        <v>HELENE</v>
      </c>
      <c r="D451" s="3">
        <f>VLOOKUP($B451, '[1]HURDAT Query'!$A$1:$F$1030, 4, 0)</f>
        <v>3</v>
      </c>
      <c r="E451" s="3">
        <f>VLOOKUP($B451, '[1]HURDAT Query'!$A$1:$F$1030, 5, 0)</f>
        <v>105</v>
      </c>
      <c r="F451" s="3">
        <f>VLOOKUP($B451, '[1]HURDAT Query'!$A$1:$F$1030, 6, 0)</f>
        <v>955</v>
      </c>
      <c r="G451" s="3" t="str">
        <f>_xlfn.IFNA(VLOOKUP(B451, '[1]Landfall Stats'!A:G, 7, 0), "No LF")</f>
        <v>No LF</v>
      </c>
      <c r="H451" s="3" t="str">
        <f>_xlfn.IFNA(VLOOKUP(B451, '[1]Landfall Stats'!A:G, 5, 0), "No LF")</f>
        <v>No LF</v>
      </c>
      <c r="I451" s="3" t="str">
        <f>_xlfn.IFNA(VLOOKUP(B451, '[1]Landfall Stats'!A:G, 6, 0), "No LF")</f>
        <v>No LF</v>
      </c>
      <c r="J451" s="4" t="s">
        <v>734</v>
      </c>
      <c r="K451" s="3">
        <v>0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2.75" customHeight="1" x14ac:dyDescent="0.2">
      <c r="A452" s="3">
        <v>2006</v>
      </c>
      <c r="B452" s="3" t="s">
        <v>735</v>
      </c>
      <c r="C452" s="3" t="str">
        <f>VLOOKUP($B452, '[1]HURDAT Query'!$A$1:$F$1030, 3, 0)</f>
        <v>ISAAC</v>
      </c>
      <c r="D452" s="3">
        <f>VLOOKUP($B452, '[1]HURDAT Query'!$A$1:$F$1030, 4, 0)</f>
        <v>1</v>
      </c>
      <c r="E452" s="3">
        <f>VLOOKUP($B452, '[1]HURDAT Query'!$A$1:$F$1030, 5, 0)</f>
        <v>75</v>
      </c>
      <c r="F452" s="3">
        <f>VLOOKUP($B452, '[1]HURDAT Query'!$A$1:$F$1030, 6, 0)</f>
        <v>985</v>
      </c>
      <c r="G452" s="3" t="str">
        <f>_xlfn.IFNA(VLOOKUP(B452, '[1]Landfall Stats'!A:G, 7, 0), "No LF")</f>
        <v>No LF</v>
      </c>
      <c r="H452" s="3" t="str">
        <f>_xlfn.IFNA(VLOOKUP(B452, '[1]Landfall Stats'!A:G, 5, 0), "No LF")</f>
        <v>No LF</v>
      </c>
      <c r="I452" s="3" t="str">
        <f>_xlfn.IFNA(VLOOKUP(B452, '[1]Landfall Stats'!A:G, 6, 0), "No LF")</f>
        <v>No LF</v>
      </c>
      <c r="J452" s="4" t="s">
        <v>736</v>
      </c>
      <c r="K452" s="3">
        <v>0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2.75" customHeight="1" x14ac:dyDescent="0.2">
      <c r="A453" s="3">
        <v>2007</v>
      </c>
      <c r="B453" s="3" t="s">
        <v>737</v>
      </c>
      <c r="C453" s="3" t="str">
        <f>VLOOKUP($B453, '[1]HURDAT Query'!$A$1:$F$1030, 3, 0)</f>
        <v>ANDREA</v>
      </c>
      <c r="D453" s="3" t="str">
        <f>VLOOKUP($B453, '[1]HURDAT Query'!$A$1:$F$1030, 4, 0)</f>
        <v>NA</v>
      </c>
      <c r="E453" s="3" t="str">
        <f>VLOOKUP($B453, '[1]HURDAT Query'!$A$1:$F$1030, 5, 0)</f>
        <v>NA</v>
      </c>
      <c r="F453" s="3" t="str">
        <f>VLOOKUP($B453, '[1]HURDAT Query'!$A$1:$F$1030, 6, 0)</f>
        <v>NA</v>
      </c>
      <c r="G453" s="3" t="str">
        <f>_xlfn.IFNA(VLOOKUP(B453, '[1]Landfall Stats'!A:G, 7, 0), "No LF")</f>
        <v>No LF</v>
      </c>
      <c r="H453" s="3" t="str">
        <f>_xlfn.IFNA(VLOOKUP(B453, '[1]Landfall Stats'!A:G, 5, 0), "No LF")</f>
        <v>No LF</v>
      </c>
      <c r="I453" s="3" t="str">
        <f>_xlfn.IFNA(VLOOKUP(B453, '[1]Landfall Stats'!A:G, 6, 0), "No LF")</f>
        <v>No LF</v>
      </c>
      <c r="J453" s="4" t="s">
        <v>738</v>
      </c>
      <c r="K453" s="3">
        <v>0</v>
      </c>
      <c r="L453" s="3"/>
      <c r="M453" s="3"/>
      <c r="N453" s="3"/>
      <c r="O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2.75" customHeight="1" x14ac:dyDescent="0.2">
      <c r="A454" s="3">
        <v>2007</v>
      </c>
      <c r="B454" s="3" t="s">
        <v>739</v>
      </c>
      <c r="C454" s="3" t="str">
        <f>VLOOKUP($B454, '[1]HURDAT Query'!$A$1:$F$1030, 3, 0)</f>
        <v>BARRY</v>
      </c>
      <c r="D454" s="3" t="str">
        <f>VLOOKUP($B454, '[1]HURDAT Query'!$A$1:$F$1030, 4, 0)</f>
        <v>NA</v>
      </c>
      <c r="E454" s="3" t="str">
        <f>VLOOKUP($B454, '[1]HURDAT Query'!$A$1:$F$1030, 5, 0)</f>
        <v>NA</v>
      </c>
      <c r="F454" s="3" t="str">
        <f>VLOOKUP($B454, '[1]HURDAT Query'!$A$1:$F$1030, 6, 0)</f>
        <v>NA</v>
      </c>
      <c r="G454" s="3" t="str">
        <f>_xlfn.IFNA(VLOOKUP(B454, '[1]Landfall Stats'!A:G, 7, 0), "No LF")</f>
        <v>No LF</v>
      </c>
      <c r="H454" s="3" t="str">
        <f>_xlfn.IFNA(VLOOKUP(B454, '[1]Landfall Stats'!A:G, 5, 0), "No LF")</f>
        <v>No LF</v>
      </c>
      <c r="I454" s="3" t="str">
        <f>_xlfn.IFNA(VLOOKUP(B454, '[1]Landfall Stats'!A:G, 6, 0), "No LF")</f>
        <v>No LF</v>
      </c>
      <c r="J454" s="4" t="s">
        <v>740</v>
      </c>
      <c r="K454" s="3">
        <v>0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2.75" customHeight="1" x14ac:dyDescent="0.2">
      <c r="A455" s="3">
        <v>2007</v>
      </c>
      <c r="B455" s="3" t="s">
        <v>741</v>
      </c>
      <c r="C455" s="3" t="str">
        <f>VLOOKUP($B455, '[1]HURDAT Query'!$A$1:$F$1030, 3, 0)</f>
        <v>CHANTAL</v>
      </c>
      <c r="D455" s="3" t="str">
        <f>VLOOKUP($B455, '[1]HURDAT Query'!$A$1:$F$1030, 4, 0)</f>
        <v>NA</v>
      </c>
      <c r="E455" s="3" t="str">
        <f>VLOOKUP($B455, '[1]HURDAT Query'!$A$1:$F$1030, 5, 0)</f>
        <v>NA</v>
      </c>
      <c r="F455" s="3" t="str">
        <f>VLOOKUP($B455, '[1]HURDAT Query'!$A$1:$F$1030, 6, 0)</f>
        <v>NA</v>
      </c>
      <c r="G455" s="3" t="str">
        <f>_xlfn.IFNA(VLOOKUP(B455, '[1]Landfall Stats'!A:G, 7, 0), "No LF")</f>
        <v>No LF</v>
      </c>
      <c r="H455" s="3" t="str">
        <f>_xlfn.IFNA(VLOOKUP(B455, '[1]Landfall Stats'!A:G, 5, 0), "No LF")</f>
        <v>No LF</v>
      </c>
      <c r="I455" s="3" t="str">
        <f>_xlfn.IFNA(VLOOKUP(B455, '[1]Landfall Stats'!A:G, 6, 0), "No LF")</f>
        <v>No LF</v>
      </c>
      <c r="J455" s="4" t="s">
        <v>742</v>
      </c>
      <c r="K455" s="3">
        <v>0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2.75" customHeight="1" x14ac:dyDescent="0.2">
      <c r="A456" s="3">
        <v>2007</v>
      </c>
      <c r="B456" s="3" t="s">
        <v>743</v>
      </c>
      <c r="C456" s="3" t="str">
        <f>VLOOKUP($B456, '[1]HURDAT Query'!$A$1:$F$1030, 3, 0)</f>
        <v>DEAN</v>
      </c>
      <c r="D456" s="3">
        <f>VLOOKUP($B456, '[1]HURDAT Query'!$A$1:$F$1030, 4, 0)</f>
        <v>5</v>
      </c>
      <c r="E456" s="3">
        <f>VLOOKUP($B456, '[1]HURDAT Query'!$A$1:$F$1030, 5, 0)</f>
        <v>150</v>
      </c>
      <c r="F456" s="3">
        <f>VLOOKUP($B456, '[1]HURDAT Query'!$A$1:$F$1030, 6, 0)</f>
        <v>905</v>
      </c>
      <c r="G456" s="3" t="str">
        <f>_xlfn.IFNA(VLOOKUP(B456, '[1]Landfall Stats'!A:G, 7, 0), "No LF")</f>
        <v>No LF</v>
      </c>
      <c r="H456" s="3" t="str">
        <f>_xlfn.IFNA(VLOOKUP(B456, '[1]Landfall Stats'!A:G, 5, 0), "No LF")</f>
        <v>No LF</v>
      </c>
      <c r="I456" s="3" t="str">
        <f>_xlfn.IFNA(VLOOKUP(B456, '[1]Landfall Stats'!A:G, 6, 0), "No LF")</f>
        <v>No LF</v>
      </c>
      <c r="J456" s="4" t="s">
        <v>744</v>
      </c>
      <c r="K456" s="3">
        <v>0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2.75" customHeight="1" x14ac:dyDescent="0.2">
      <c r="A457" s="3">
        <v>2007</v>
      </c>
      <c r="B457" s="3" t="s">
        <v>745</v>
      </c>
      <c r="C457" s="3" t="str">
        <f>VLOOKUP($B457, '[1]HURDAT Query'!$A$1:$F$1030, 3, 0)</f>
        <v>ERIN</v>
      </c>
      <c r="D457" s="3" t="str">
        <f>VLOOKUP($B457, '[1]HURDAT Query'!$A$1:$F$1030, 4, 0)</f>
        <v>NA</v>
      </c>
      <c r="E457" s="3" t="str">
        <f>VLOOKUP($B457, '[1]HURDAT Query'!$A$1:$F$1030, 5, 0)</f>
        <v>NA</v>
      </c>
      <c r="F457" s="3" t="str">
        <f>VLOOKUP($B457, '[1]HURDAT Query'!$A$1:$F$1030, 6, 0)</f>
        <v>NA</v>
      </c>
      <c r="G457" s="3" t="str">
        <f>_xlfn.IFNA(VLOOKUP(B457, '[1]Landfall Stats'!A:G, 7, 0), "No LF")</f>
        <v>No LF</v>
      </c>
      <c r="H457" s="3" t="str">
        <f>_xlfn.IFNA(VLOOKUP(B457, '[1]Landfall Stats'!A:G, 5, 0), "No LF")</f>
        <v>No LF</v>
      </c>
      <c r="I457" s="3" t="str">
        <f>_xlfn.IFNA(VLOOKUP(B457, '[1]Landfall Stats'!A:G, 6, 0), "No LF")</f>
        <v>No LF</v>
      </c>
      <c r="J457" s="4" t="s">
        <v>746</v>
      </c>
      <c r="K457" s="3">
        <v>16</v>
      </c>
      <c r="L457" s="3"/>
      <c r="M457" s="3"/>
      <c r="N457" s="3"/>
      <c r="O457" s="3"/>
      <c r="P457" s="3"/>
      <c r="Q457" s="3"/>
      <c r="R457" s="3"/>
      <c r="S457" s="3"/>
      <c r="T457" s="3">
        <v>16</v>
      </c>
      <c r="U457" s="3" t="s">
        <v>747</v>
      </c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2.75" customHeight="1" x14ac:dyDescent="0.2">
      <c r="A458" s="3">
        <v>2007</v>
      </c>
      <c r="B458" s="3" t="s">
        <v>748</v>
      </c>
      <c r="C458" s="3" t="str">
        <f>VLOOKUP($B458, '[1]HURDAT Query'!$A$1:$F$1030, 3, 0)</f>
        <v>FELIX</v>
      </c>
      <c r="D458" s="3">
        <f>VLOOKUP($B458, '[1]HURDAT Query'!$A$1:$F$1030, 4, 0)</f>
        <v>5</v>
      </c>
      <c r="E458" s="3">
        <f>VLOOKUP($B458, '[1]HURDAT Query'!$A$1:$F$1030, 5, 0)</f>
        <v>150</v>
      </c>
      <c r="F458" s="3">
        <f>VLOOKUP($B458, '[1]HURDAT Query'!$A$1:$F$1030, 6, 0)</f>
        <v>929</v>
      </c>
      <c r="G458" s="3" t="str">
        <f>_xlfn.IFNA(VLOOKUP(B458, '[1]Landfall Stats'!A:G, 7, 0), "No LF")</f>
        <v>No LF</v>
      </c>
      <c r="H458" s="3" t="str">
        <f>_xlfn.IFNA(VLOOKUP(B458, '[1]Landfall Stats'!A:G, 5, 0), "No LF")</f>
        <v>No LF</v>
      </c>
      <c r="I458" s="3" t="str">
        <f>_xlfn.IFNA(VLOOKUP(B458, '[1]Landfall Stats'!A:G, 6, 0), "No LF")</f>
        <v>No LF</v>
      </c>
      <c r="J458" s="4" t="s">
        <v>749</v>
      </c>
      <c r="K458" s="3">
        <v>0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2.75" customHeight="1" x14ac:dyDescent="0.2">
      <c r="A459" s="3">
        <v>2007</v>
      </c>
      <c r="B459" s="3" t="s">
        <v>750</v>
      </c>
      <c r="C459" s="3" t="str">
        <f>VLOOKUP($B459, '[1]HURDAT Query'!$A$1:$F$1030, 3, 0)</f>
        <v>GABRIELLE</v>
      </c>
      <c r="D459" s="3" t="str">
        <f>VLOOKUP($B459, '[1]HURDAT Query'!$A$1:$F$1030, 4, 0)</f>
        <v>NA</v>
      </c>
      <c r="E459" s="3" t="str">
        <f>VLOOKUP($B459, '[1]HURDAT Query'!$A$1:$F$1030, 5, 0)</f>
        <v>NA</v>
      </c>
      <c r="F459" s="3" t="str">
        <f>VLOOKUP($B459, '[1]HURDAT Query'!$A$1:$F$1030, 6, 0)</f>
        <v>NA</v>
      </c>
      <c r="G459" s="3" t="str">
        <f>_xlfn.IFNA(VLOOKUP(B459, '[1]Landfall Stats'!A:G, 7, 0), "No LF")</f>
        <v>No LF</v>
      </c>
      <c r="H459" s="3" t="str">
        <f>_xlfn.IFNA(VLOOKUP(B459, '[1]Landfall Stats'!A:G, 5, 0), "No LF")</f>
        <v>No LF</v>
      </c>
      <c r="I459" s="3" t="str">
        <f>_xlfn.IFNA(VLOOKUP(B459, '[1]Landfall Stats'!A:G, 6, 0), "No LF")</f>
        <v>No LF</v>
      </c>
      <c r="J459" s="4" t="s">
        <v>751</v>
      </c>
      <c r="K459" s="3">
        <v>0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2.75" customHeight="1" x14ac:dyDescent="0.2">
      <c r="A460" s="3">
        <v>2007</v>
      </c>
      <c r="B460" s="3" t="s">
        <v>752</v>
      </c>
      <c r="C460" s="3" t="str">
        <f>VLOOKUP($B460, '[1]HURDAT Query'!$A$1:$F$1030, 3, 0)</f>
        <v>INGRID</v>
      </c>
      <c r="D460" s="3" t="str">
        <f>VLOOKUP($B460, '[1]HURDAT Query'!$A$1:$F$1030, 4, 0)</f>
        <v>NA</v>
      </c>
      <c r="E460" s="3" t="str">
        <f>VLOOKUP($B460, '[1]HURDAT Query'!$A$1:$F$1030, 5, 0)</f>
        <v>NA</v>
      </c>
      <c r="F460" s="3" t="str">
        <f>VLOOKUP($B460, '[1]HURDAT Query'!$A$1:$F$1030, 6, 0)</f>
        <v>NA</v>
      </c>
      <c r="G460" s="3" t="str">
        <f>_xlfn.IFNA(VLOOKUP(B460, '[1]Landfall Stats'!A:G, 7, 0), "No LF")</f>
        <v>No LF</v>
      </c>
      <c r="H460" s="3" t="str">
        <f>_xlfn.IFNA(VLOOKUP(B460, '[1]Landfall Stats'!A:G, 5, 0), "No LF")</f>
        <v>No LF</v>
      </c>
      <c r="I460" s="3" t="str">
        <f>_xlfn.IFNA(VLOOKUP(B460, '[1]Landfall Stats'!A:G, 6, 0), "No LF")</f>
        <v>No LF</v>
      </c>
      <c r="J460" s="4" t="s">
        <v>753</v>
      </c>
      <c r="K460" s="3">
        <v>0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2.75" customHeight="1" x14ac:dyDescent="0.2">
      <c r="A461" s="3">
        <v>2007</v>
      </c>
      <c r="B461" s="3" t="s">
        <v>754</v>
      </c>
      <c r="C461" s="3" t="str">
        <f>VLOOKUP($B461, '[1]HURDAT Query'!$A$1:$F$1030, 3, 0)</f>
        <v>HUMBERTO</v>
      </c>
      <c r="D461" s="3">
        <f>VLOOKUP($B461, '[1]HURDAT Query'!$A$1:$F$1030, 4, 0)</f>
        <v>1</v>
      </c>
      <c r="E461" s="3">
        <f>VLOOKUP($B461, '[1]HURDAT Query'!$A$1:$F$1030, 5, 0)</f>
        <v>80</v>
      </c>
      <c r="F461" s="3">
        <f>VLOOKUP($B461, '[1]HURDAT Query'!$A$1:$F$1030, 6, 0)</f>
        <v>985</v>
      </c>
      <c r="G461" s="3">
        <f>_xlfn.IFNA(VLOOKUP(B461, '[1]Landfall Stats'!A:G, 7, 0), "No LF")</f>
        <v>1</v>
      </c>
      <c r="H461" s="3">
        <f>_xlfn.IFNA(VLOOKUP(B461, '[1]Landfall Stats'!A:G, 5, 0), "No LF")</f>
        <v>80</v>
      </c>
      <c r="I461" s="3">
        <f>_xlfn.IFNA(VLOOKUP(B461, '[1]Landfall Stats'!A:G, 6, 0), "No LF")</f>
        <v>985</v>
      </c>
      <c r="J461" s="4" t="s">
        <v>755</v>
      </c>
      <c r="K461" s="3">
        <v>1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>
        <v>1</v>
      </c>
      <c r="AE461" s="3" t="s">
        <v>42</v>
      </c>
    </row>
    <row r="462" spans="1:31" ht="12.75" customHeight="1" x14ac:dyDescent="0.2">
      <c r="A462" s="3">
        <v>2007</v>
      </c>
      <c r="B462" s="3" t="s">
        <v>756</v>
      </c>
      <c r="C462" s="3" t="str">
        <f>VLOOKUP($B462, '[1]HURDAT Query'!$A$1:$F$1030, 3, 0)</f>
        <v>TEN</v>
      </c>
      <c r="D462" s="3" t="str">
        <f>VLOOKUP($B462, '[1]HURDAT Query'!$A$1:$F$1030, 4, 0)</f>
        <v>NA</v>
      </c>
      <c r="E462" s="3" t="str">
        <f>VLOOKUP($B462, '[1]HURDAT Query'!$A$1:$F$1030, 5, 0)</f>
        <v>NA</v>
      </c>
      <c r="F462" s="3" t="str">
        <f>VLOOKUP($B462, '[1]HURDAT Query'!$A$1:$F$1030, 6, 0)</f>
        <v>NA</v>
      </c>
      <c r="G462" s="3" t="str">
        <f>_xlfn.IFNA(VLOOKUP(B462, '[1]Landfall Stats'!A:G, 7, 0), "No LF")</f>
        <v>No LF</v>
      </c>
      <c r="H462" s="3" t="str">
        <f>_xlfn.IFNA(VLOOKUP(B462, '[1]Landfall Stats'!A:G, 5, 0), "No LF")</f>
        <v>No LF</v>
      </c>
      <c r="I462" s="3" t="str">
        <f>_xlfn.IFNA(VLOOKUP(B462, '[1]Landfall Stats'!A:G, 6, 0), "No LF")</f>
        <v>No LF</v>
      </c>
      <c r="J462" s="4" t="s">
        <v>757</v>
      </c>
      <c r="K462" s="3">
        <v>0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2.75" customHeight="1" x14ac:dyDescent="0.2">
      <c r="A463" s="3">
        <v>2007</v>
      </c>
      <c r="B463" s="3" t="s">
        <v>758</v>
      </c>
      <c r="C463" s="3" t="str">
        <f>VLOOKUP($B463, '[1]HURDAT Query'!$A$1:$F$1030, 3, 0)</f>
        <v>JERRY</v>
      </c>
      <c r="D463" s="3" t="str">
        <f>VLOOKUP($B463, '[1]HURDAT Query'!$A$1:$F$1030, 4, 0)</f>
        <v>NA</v>
      </c>
      <c r="E463" s="3" t="str">
        <f>VLOOKUP($B463, '[1]HURDAT Query'!$A$1:$F$1030, 5, 0)</f>
        <v>NA</v>
      </c>
      <c r="F463" s="3" t="str">
        <f>VLOOKUP($B463, '[1]HURDAT Query'!$A$1:$F$1030, 6, 0)</f>
        <v>NA</v>
      </c>
      <c r="G463" s="3" t="str">
        <f>_xlfn.IFNA(VLOOKUP(B463, '[1]Landfall Stats'!A:G, 7, 0), "No LF")</f>
        <v>No LF</v>
      </c>
      <c r="H463" s="3" t="str">
        <f>_xlfn.IFNA(VLOOKUP(B463, '[1]Landfall Stats'!A:G, 5, 0), "No LF")</f>
        <v>No LF</v>
      </c>
      <c r="I463" s="3" t="str">
        <f>_xlfn.IFNA(VLOOKUP(B463, '[1]Landfall Stats'!A:G, 6, 0), "No LF")</f>
        <v>No LF</v>
      </c>
      <c r="J463" s="4" t="s">
        <v>759</v>
      </c>
      <c r="K463" s="3">
        <v>0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2.75" customHeight="1" x14ac:dyDescent="0.2">
      <c r="A464" s="3">
        <v>2007</v>
      </c>
      <c r="B464" s="3" t="s">
        <v>760</v>
      </c>
      <c r="C464" s="3" t="str">
        <f>VLOOKUP($B464, '[1]HURDAT Query'!$A$1:$F$1030, 3, 0)</f>
        <v>KAREN</v>
      </c>
      <c r="D464" s="3">
        <f>VLOOKUP($B464, '[1]HURDAT Query'!$A$1:$F$1030, 4, 0)</f>
        <v>1</v>
      </c>
      <c r="E464" s="3">
        <f>VLOOKUP($B464, '[1]HURDAT Query'!$A$1:$F$1030, 5, 0)</f>
        <v>65</v>
      </c>
      <c r="F464" s="3">
        <f>VLOOKUP($B464, '[1]HURDAT Query'!$A$1:$F$1030, 6, 0)</f>
        <v>988</v>
      </c>
      <c r="G464" s="3" t="str">
        <f>_xlfn.IFNA(VLOOKUP(B464, '[1]Landfall Stats'!A:G, 7, 0), "No LF")</f>
        <v>No LF</v>
      </c>
      <c r="H464" s="3" t="str">
        <f>_xlfn.IFNA(VLOOKUP(B464, '[1]Landfall Stats'!A:G, 5, 0), "No LF")</f>
        <v>No LF</v>
      </c>
      <c r="I464" s="3" t="str">
        <f>_xlfn.IFNA(VLOOKUP(B464, '[1]Landfall Stats'!A:G, 6, 0), "No LF")</f>
        <v>No LF</v>
      </c>
      <c r="J464" s="4" t="s">
        <v>761</v>
      </c>
      <c r="K464" s="3">
        <v>0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2.75" customHeight="1" x14ac:dyDescent="0.2">
      <c r="A465" s="3">
        <v>2007</v>
      </c>
      <c r="B465" s="3" t="s">
        <v>762</v>
      </c>
      <c r="C465" s="3" t="str">
        <f>VLOOKUP($B465, '[1]HURDAT Query'!$A$1:$F$1030, 3, 0)</f>
        <v>LORENZO</v>
      </c>
      <c r="D465" s="3">
        <f>VLOOKUP($B465, '[1]HURDAT Query'!$A$1:$F$1030, 4, 0)</f>
        <v>1</v>
      </c>
      <c r="E465" s="3">
        <f>VLOOKUP($B465, '[1]HURDAT Query'!$A$1:$F$1030, 5, 0)</f>
        <v>70</v>
      </c>
      <c r="F465" s="3">
        <f>VLOOKUP($B465, '[1]HURDAT Query'!$A$1:$F$1030, 6, 0)</f>
        <v>990</v>
      </c>
      <c r="G465" s="3" t="str">
        <f>_xlfn.IFNA(VLOOKUP(B465, '[1]Landfall Stats'!A:G, 7, 0), "No LF")</f>
        <v>No LF</v>
      </c>
      <c r="H465" s="3" t="str">
        <f>_xlfn.IFNA(VLOOKUP(B465, '[1]Landfall Stats'!A:G, 5, 0), "No LF")</f>
        <v>No LF</v>
      </c>
      <c r="I465" s="3" t="str">
        <f>_xlfn.IFNA(VLOOKUP(B465, '[1]Landfall Stats'!A:G, 6, 0), "No LF")</f>
        <v>No LF</v>
      </c>
      <c r="J465" s="4" t="s">
        <v>763</v>
      </c>
      <c r="K465" s="3">
        <v>0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2.75" customHeight="1" x14ac:dyDescent="0.2">
      <c r="A466" s="3">
        <v>2007</v>
      </c>
      <c r="B466" s="3" t="s">
        <v>764</v>
      </c>
      <c r="C466" s="3" t="str">
        <f>VLOOKUP($B466, '[1]HURDAT Query'!$A$1:$F$1030, 3, 0)</f>
        <v>MELISSA</v>
      </c>
      <c r="D466" s="3" t="str">
        <f>VLOOKUP($B466, '[1]HURDAT Query'!$A$1:$F$1030, 4, 0)</f>
        <v>NA</v>
      </c>
      <c r="E466" s="3" t="str">
        <f>VLOOKUP($B466, '[1]HURDAT Query'!$A$1:$F$1030, 5, 0)</f>
        <v>NA</v>
      </c>
      <c r="F466" s="3" t="str">
        <f>VLOOKUP($B466, '[1]HURDAT Query'!$A$1:$F$1030, 6, 0)</f>
        <v>NA</v>
      </c>
      <c r="G466" s="3" t="str">
        <f>_xlfn.IFNA(VLOOKUP(B466, '[1]Landfall Stats'!A:G, 7, 0), "No LF")</f>
        <v>No LF</v>
      </c>
      <c r="H466" s="3" t="str">
        <f>_xlfn.IFNA(VLOOKUP(B466, '[1]Landfall Stats'!A:G, 5, 0), "No LF")</f>
        <v>No LF</v>
      </c>
      <c r="I466" s="3" t="str">
        <f>_xlfn.IFNA(VLOOKUP(B466, '[1]Landfall Stats'!A:G, 6, 0), "No LF")</f>
        <v>No LF</v>
      </c>
      <c r="J466" s="4" t="s">
        <v>765</v>
      </c>
      <c r="K466" s="3">
        <v>0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2.75" customHeight="1" x14ac:dyDescent="0.2">
      <c r="A467" s="3">
        <v>2007</v>
      </c>
      <c r="B467" s="3" t="s">
        <v>766</v>
      </c>
      <c r="C467" s="3" t="str">
        <f>VLOOKUP($B467, '[1]HURDAT Query'!$A$1:$F$1030, 3, 0)</f>
        <v>FIFTEEN</v>
      </c>
      <c r="D467" s="3" t="str">
        <f>VLOOKUP($B467, '[1]HURDAT Query'!$A$1:$F$1030, 4, 0)</f>
        <v>NA</v>
      </c>
      <c r="E467" s="3" t="str">
        <f>VLOOKUP($B467, '[1]HURDAT Query'!$A$1:$F$1030, 5, 0)</f>
        <v>NA</v>
      </c>
      <c r="F467" s="3" t="str">
        <f>VLOOKUP($B467, '[1]HURDAT Query'!$A$1:$F$1030, 6, 0)</f>
        <v>NA</v>
      </c>
      <c r="G467" s="3" t="str">
        <f>_xlfn.IFNA(VLOOKUP(B467, '[1]Landfall Stats'!A:G, 7, 0), "No LF")</f>
        <v>No LF</v>
      </c>
      <c r="H467" s="3" t="str">
        <f>_xlfn.IFNA(VLOOKUP(B467, '[1]Landfall Stats'!A:G, 5, 0), "No LF")</f>
        <v>No LF</v>
      </c>
      <c r="I467" s="3" t="str">
        <f>_xlfn.IFNA(VLOOKUP(B467, '[1]Landfall Stats'!A:G, 6, 0), "No LF")</f>
        <v>No LF</v>
      </c>
      <c r="J467" s="4" t="s">
        <v>767</v>
      </c>
      <c r="K467" s="3">
        <v>0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2.75" customHeight="1" x14ac:dyDescent="0.2">
      <c r="A468" s="3">
        <v>2007</v>
      </c>
      <c r="B468" s="3" t="s">
        <v>768</v>
      </c>
      <c r="C468" s="3" t="str">
        <f>VLOOKUP($B468, '[1]HURDAT Query'!$A$1:$F$1030, 3, 0)</f>
        <v>NOEL</v>
      </c>
      <c r="D468" s="3">
        <f>VLOOKUP($B468, '[1]HURDAT Query'!$A$1:$F$1030, 4, 0)</f>
        <v>1</v>
      </c>
      <c r="E468" s="3">
        <f>VLOOKUP($B468, '[1]HURDAT Query'!$A$1:$F$1030, 5, 0)</f>
        <v>70</v>
      </c>
      <c r="F468" s="3">
        <f>VLOOKUP($B468, '[1]HURDAT Query'!$A$1:$F$1030, 6, 0)</f>
        <v>980</v>
      </c>
      <c r="G468" s="3" t="str">
        <f>_xlfn.IFNA(VLOOKUP(B468, '[1]Landfall Stats'!A:G, 7, 0), "No LF")</f>
        <v>No LF</v>
      </c>
      <c r="H468" s="3" t="str">
        <f>_xlfn.IFNA(VLOOKUP(B468, '[1]Landfall Stats'!A:G, 5, 0), "No LF")</f>
        <v>No LF</v>
      </c>
      <c r="I468" s="3" t="str">
        <f>_xlfn.IFNA(VLOOKUP(B468, '[1]Landfall Stats'!A:G, 6, 0), "No LF")</f>
        <v>No LF</v>
      </c>
      <c r="J468" s="4" t="s">
        <v>769</v>
      </c>
      <c r="K468" s="3">
        <v>0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2.75" customHeight="1" x14ac:dyDescent="0.2">
      <c r="A469" s="3">
        <v>2007</v>
      </c>
      <c r="B469" s="3" t="s">
        <v>770</v>
      </c>
      <c r="C469" s="3" t="str">
        <f>VLOOKUP($B469, '[1]HURDAT Query'!$A$1:$F$1030, 3, 0)</f>
        <v>OLGA</v>
      </c>
      <c r="D469" s="3" t="str">
        <f>VLOOKUP($B469, '[1]HURDAT Query'!$A$1:$F$1030, 4, 0)</f>
        <v>NA</v>
      </c>
      <c r="E469" s="3" t="str">
        <f>VLOOKUP($B469, '[1]HURDAT Query'!$A$1:$F$1030, 5, 0)</f>
        <v>NA</v>
      </c>
      <c r="F469" s="3" t="str">
        <f>VLOOKUP($B469, '[1]HURDAT Query'!$A$1:$F$1030, 6, 0)</f>
        <v>NA</v>
      </c>
      <c r="G469" s="3" t="str">
        <f>_xlfn.IFNA(VLOOKUP(B469, '[1]Landfall Stats'!A:G, 7, 0), "No LF")</f>
        <v>No LF</v>
      </c>
      <c r="H469" s="3" t="str">
        <f>_xlfn.IFNA(VLOOKUP(B469, '[1]Landfall Stats'!A:G, 5, 0), "No LF")</f>
        <v>No LF</v>
      </c>
      <c r="I469" s="3" t="str">
        <f>_xlfn.IFNA(VLOOKUP(B469, '[1]Landfall Stats'!A:G, 6, 0), "No LF")</f>
        <v>No LF</v>
      </c>
      <c r="J469" s="4" t="s">
        <v>771</v>
      </c>
      <c r="K469" s="3">
        <v>0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2.75" customHeight="1" x14ac:dyDescent="0.2">
      <c r="A470" s="3">
        <v>2008</v>
      </c>
      <c r="B470" s="3" t="s">
        <v>772</v>
      </c>
      <c r="C470" s="3" t="str">
        <f>VLOOKUP($B470, '[1]HURDAT Query'!$A$1:$F$1030, 3, 0)</f>
        <v>ARTHUR</v>
      </c>
      <c r="D470" s="3" t="str">
        <f>VLOOKUP($B470, '[1]HURDAT Query'!$A$1:$F$1030, 4, 0)</f>
        <v>NA</v>
      </c>
      <c r="E470" s="3" t="str">
        <f>VLOOKUP($B470, '[1]HURDAT Query'!$A$1:$F$1030, 5, 0)</f>
        <v>NA</v>
      </c>
      <c r="F470" s="3" t="str">
        <f>VLOOKUP($B470, '[1]HURDAT Query'!$A$1:$F$1030, 6, 0)</f>
        <v>NA</v>
      </c>
      <c r="G470" s="3" t="str">
        <f>_xlfn.IFNA(VLOOKUP(B470, '[1]Landfall Stats'!A:G, 7, 0), "No LF")</f>
        <v>No LF</v>
      </c>
      <c r="H470" s="3" t="str">
        <f>_xlfn.IFNA(VLOOKUP(B470, '[1]Landfall Stats'!A:G, 5, 0), "No LF")</f>
        <v>No LF</v>
      </c>
      <c r="I470" s="3" t="str">
        <f>_xlfn.IFNA(VLOOKUP(B470, '[1]Landfall Stats'!A:G, 6, 0), "No LF")</f>
        <v>No LF</v>
      </c>
      <c r="J470" s="4" t="s">
        <v>773</v>
      </c>
      <c r="K470" s="3">
        <v>0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2.75" customHeight="1" x14ac:dyDescent="0.2">
      <c r="A471" s="3">
        <v>2008</v>
      </c>
      <c r="B471" s="3" t="s">
        <v>774</v>
      </c>
      <c r="C471" s="3" t="str">
        <f>VLOOKUP($B471, '[1]HURDAT Query'!$A$1:$F$1030, 3, 0)</f>
        <v>BERTHA</v>
      </c>
      <c r="D471" s="3">
        <f>VLOOKUP($B471, '[1]HURDAT Query'!$A$1:$F$1030, 4, 0)</f>
        <v>3</v>
      </c>
      <c r="E471" s="3">
        <f>VLOOKUP($B471, '[1]HURDAT Query'!$A$1:$F$1030, 5, 0)</f>
        <v>110</v>
      </c>
      <c r="F471" s="3">
        <f>VLOOKUP($B471, '[1]HURDAT Query'!$A$1:$F$1030, 6, 0)</f>
        <v>952</v>
      </c>
      <c r="G471" s="3" t="str">
        <f>_xlfn.IFNA(VLOOKUP(B471, '[1]Landfall Stats'!A:G, 7, 0), "No LF")</f>
        <v>No LF</v>
      </c>
      <c r="H471" s="3" t="str">
        <f>_xlfn.IFNA(VLOOKUP(B471, '[1]Landfall Stats'!A:G, 5, 0), "No LF")</f>
        <v>No LF</v>
      </c>
      <c r="I471" s="3" t="str">
        <f>_xlfn.IFNA(VLOOKUP(B471, '[1]Landfall Stats'!A:G, 6, 0), "No LF")</f>
        <v>No LF</v>
      </c>
      <c r="J471" s="4" t="s">
        <v>775</v>
      </c>
      <c r="K471" s="3">
        <v>3</v>
      </c>
      <c r="L471" s="3"/>
      <c r="M471" s="3"/>
      <c r="N471" s="3">
        <v>3</v>
      </c>
      <c r="O471" s="3" t="s">
        <v>84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2.75" customHeight="1" x14ac:dyDescent="0.2">
      <c r="A472" s="3">
        <v>2008</v>
      </c>
      <c r="B472" s="3" t="s">
        <v>776</v>
      </c>
      <c r="C472" s="3" t="str">
        <f>VLOOKUP($B472, '[1]HURDAT Query'!$A$1:$F$1030, 3, 0)</f>
        <v>CRISTOBAL</v>
      </c>
      <c r="D472" s="3" t="str">
        <f>VLOOKUP($B472, '[1]HURDAT Query'!$A$1:$F$1030, 4, 0)</f>
        <v>NA</v>
      </c>
      <c r="E472" s="3" t="str">
        <f>VLOOKUP($B472, '[1]HURDAT Query'!$A$1:$F$1030, 5, 0)</f>
        <v>NA</v>
      </c>
      <c r="F472" s="3" t="str">
        <f>VLOOKUP($B472, '[1]HURDAT Query'!$A$1:$F$1030, 6, 0)</f>
        <v>NA</v>
      </c>
      <c r="G472" s="3" t="str">
        <f>_xlfn.IFNA(VLOOKUP(B472, '[1]Landfall Stats'!A:G, 7, 0), "No LF")</f>
        <v>No LF</v>
      </c>
      <c r="H472" s="3" t="str">
        <f>_xlfn.IFNA(VLOOKUP(B472, '[1]Landfall Stats'!A:G, 5, 0), "No LF")</f>
        <v>No LF</v>
      </c>
      <c r="I472" s="3" t="str">
        <f>_xlfn.IFNA(VLOOKUP(B472, '[1]Landfall Stats'!A:G, 6, 0), "No LF")</f>
        <v>No LF</v>
      </c>
      <c r="J472" s="4" t="s">
        <v>777</v>
      </c>
      <c r="K472" s="3">
        <v>0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2.75" customHeight="1" x14ac:dyDescent="0.2">
      <c r="A473" s="3">
        <v>2008</v>
      </c>
      <c r="B473" s="3" t="s">
        <v>778</v>
      </c>
      <c r="C473" s="3" t="str">
        <f>VLOOKUP($B473, '[1]HURDAT Query'!$A$1:$F$1030, 3, 0)</f>
        <v>DOLLY</v>
      </c>
      <c r="D473" s="3">
        <f>VLOOKUP($B473, '[1]HURDAT Query'!$A$1:$F$1030, 4, 0)</f>
        <v>2</v>
      </c>
      <c r="E473" s="3">
        <f>VLOOKUP($B473, '[1]HURDAT Query'!$A$1:$F$1030, 5, 0)</f>
        <v>85</v>
      </c>
      <c r="F473" s="3">
        <f>VLOOKUP($B473, '[1]HURDAT Query'!$A$1:$F$1030, 6, 0)</f>
        <v>963</v>
      </c>
      <c r="G473" s="3">
        <f>_xlfn.IFNA(VLOOKUP(B473, '[1]Landfall Stats'!A:G, 7, 0), "No LF")</f>
        <v>1</v>
      </c>
      <c r="H473" s="3">
        <f>_xlfn.IFNA(VLOOKUP(B473, '[1]Landfall Stats'!A:G, 5, 0), "No LF")</f>
        <v>75</v>
      </c>
      <c r="I473" s="3">
        <f>_xlfn.IFNA(VLOOKUP(B473, '[1]Landfall Stats'!A:G, 6, 0), "No LF")</f>
        <v>967</v>
      </c>
      <c r="J473" s="4" t="s">
        <v>779</v>
      </c>
      <c r="K473" s="3">
        <v>1</v>
      </c>
      <c r="L473" s="3"/>
      <c r="M473" s="3"/>
      <c r="N473" s="3">
        <v>1</v>
      </c>
      <c r="O473" s="3" t="s">
        <v>51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12.75" customHeight="1" x14ac:dyDescent="0.2">
      <c r="A474" s="3">
        <v>2008</v>
      </c>
      <c r="B474" s="3" t="s">
        <v>780</v>
      </c>
      <c r="C474" s="3" t="str">
        <f>VLOOKUP($B474, '[1]HURDAT Query'!$A$1:$F$1030, 3, 0)</f>
        <v>EDOUARD</v>
      </c>
      <c r="D474" s="3" t="str">
        <f>VLOOKUP($B474, '[1]HURDAT Query'!$A$1:$F$1030, 4, 0)</f>
        <v>NA</v>
      </c>
      <c r="E474" s="3" t="str">
        <f>VLOOKUP($B474, '[1]HURDAT Query'!$A$1:$F$1030, 5, 0)</f>
        <v>NA</v>
      </c>
      <c r="F474" s="3" t="str">
        <f>VLOOKUP($B474, '[1]HURDAT Query'!$A$1:$F$1030, 6, 0)</f>
        <v>NA</v>
      </c>
      <c r="G474" s="3" t="str">
        <f>_xlfn.IFNA(VLOOKUP(B474, '[1]Landfall Stats'!A:G, 7, 0), "No LF")</f>
        <v>No LF</v>
      </c>
      <c r="H474" s="3" t="str">
        <f>_xlfn.IFNA(VLOOKUP(B474, '[1]Landfall Stats'!A:G, 5, 0), "No LF")</f>
        <v>No LF</v>
      </c>
      <c r="I474" s="3" t="str">
        <f>_xlfn.IFNA(VLOOKUP(B474, '[1]Landfall Stats'!A:G, 6, 0), "No LF")</f>
        <v>No LF</v>
      </c>
      <c r="J474" s="4" t="s">
        <v>781</v>
      </c>
      <c r="K474" s="3">
        <v>1</v>
      </c>
      <c r="L474" s="3"/>
      <c r="M474" s="3"/>
      <c r="N474" s="3"/>
      <c r="O474" s="3"/>
      <c r="P474" s="3">
        <v>1</v>
      </c>
      <c r="Q474" s="3" t="s">
        <v>103</v>
      </c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2.75" customHeight="1" x14ac:dyDescent="0.2">
      <c r="A475" s="3">
        <v>2008</v>
      </c>
      <c r="B475" s="3" t="s">
        <v>782</v>
      </c>
      <c r="C475" s="3" t="str">
        <f>VLOOKUP($B475, '[1]HURDAT Query'!$A$1:$F$1030, 3, 0)</f>
        <v>FAY</v>
      </c>
      <c r="D475" s="3" t="str">
        <f>VLOOKUP($B475, '[1]HURDAT Query'!$A$1:$F$1030, 4, 0)</f>
        <v>NA</v>
      </c>
      <c r="E475" s="3" t="str">
        <f>VLOOKUP($B475, '[1]HURDAT Query'!$A$1:$F$1030, 5, 0)</f>
        <v>NA</v>
      </c>
      <c r="F475" s="3" t="str">
        <f>VLOOKUP($B475, '[1]HURDAT Query'!$A$1:$F$1030, 6, 0)</f>
        <v>NA</v>
      </c>
      <c r="G475" s="3" t="str">
        <f>_xlfn.IFNA(VLOOKUP(B475, '[1]Landfall Stats'!A:G, 7, 0), "No LF")</f>
        <v>NA</v>
      </c>
      <c r="H475" s="3">
        <f>_xlfn.IFNA(VLOOKUP(B475, '[1]Landfall Stats'!A:G, 5, 0), "No LF")</f>
        <v>55</v>
      </c>
      <c r="I475" s="3">
        <f>_xlfn.IFNA(VLOOKUP(B475, '[1]Landfall Stats'!A:G, 6, 0), "No LF")</f>
        <v>991</v>
      </c>
      <c r="J475" s="4" t="s">
        <v>783</v>
      </c>
      <c r="K475" s="3">
        <v>5</v>
      </c>
      <c r="L475" s="3"/>
      <c r="M475" s="3"/>
      <c r="N475" s="3"/>
      <c r="O475" s="3"/>
      <c r="P475" s="3"/>
      <c r="Q475" s="3"/>
      <c r="R475" s="3"/>
      <c r="S475" s="3"/>
      <c r="T475" s="3">
        <v>5</v>
      </c>
      <c r="U475" s="3" t="s">
        <v>51</v>
      </c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2.75" customHeight="1" x14ac:dyDescent="0.2">
      <c r="A476" s="3">
        <v>2008</v>
      </c>
      <c r="B476" s="3" t="s">
        <v>782</v>
      </c>
      <c r="C476" s="3" t="str">
        <f>VLOOKUP($B476, '[1]HURDAT Query'!$A$1:$F$1030, 3, 0)</f>
        <v>FAY</v>
      </c>
      <c r="D476" s="3" t="str">
        <f>VLOOKUP($B476, '[1]HURDAT Query'!$A$1:$F$1030, 4, 0)</f>
        <v>NA</v>
      </c>
      <c r="E476" s="3" t="str">
        <f>VLOOKUP($B476, '[1]HURDAT Query'!$A$1:$F$1030, 5, 0)</f>
        <v>NA</v>
      </c>
      <c r="F476" s="3" t="str">
        <f>VLOOKUP($B476, '[1]HURDAT Query'!$A$1:$F$1030, 6, 0)</f>
        <v>NA</v>
      </c>
      <c r="G476" s="3" t="str">
        <f>_xlfn.IFNA(VLOOKUP(B476, '[1]Landfall Stats'!A:G, 7, 0), "No LF")</f>
        <v>NA</v>
      </c>
      <c r="H476" s="3">
        <f>_xlfn.IFNA(VLOOKUP(B476, '[1]Landfall Stats'!A:G, 5, 0), "No LF")</f>
        <v>55</v>
      </c>
      <c r="I476" s="3">
        <f>_xlfn.IFNA(VLOOKUP(B476, '[1]Landfall Stats'!A:G, 6, 0), "No LF")</f>
        <v>991</v>
      </c>
      <c r="J476" s="4" t="s">
        <v>783</v>
      </c>
      <c r="K476" s="3">
        <v>5</v>
      </c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>
        <v>5</v>
      </c>
      <c r="AE476" s="3" t="s">
        <v>42</v>
      </c>
    </row>
    <row r="477" spans="1:31" ht="12.75" customHeight="1" x14ac:dyDescent="0.2">
      <c r="A477" s="3">
        <v>2008</v>
      </c>
      <c r="B477" s="3" t="s">
        <v>784</v>
      </c>
      <c r="C477" s="3" t="str">
        <f>VLOOKUP($B477, '[1]HURDAT Query'!$A$1:$F$1030, 3, 0)</f>
        <v>GUSTAV</v>
      </c>
      <c r="D477" s="3">
        <f>VLOOKUP($B477, '[1]HURDAT Query'!$A$1:$F$1030, 4, 0)</f>
        <v>4</v>
      </c>
      <c r="E477" s="3">
        <f>VLOOKUP($B477, '[1]HURDAT Query'!$A$1:$F$1030, 5, 0)</f>
        <v>135</v>
      </c>
      <c r="F477" s="3">
        <f>VLOOKUP($B477, '[1]HURDAT Query'!$A$1:$F$1030, 6, 0)</f>
        <v>941</v>
      </c>
      <c r="G477" s="3">
        <f>_xlfn.IFNA(VLOOKUP(B477, '[1]Landfall Stats'!A:G, 7, 0), "No LF")</f>
        <v>2</v>
      </c>
      <c r="H477" s="3">
        <f>_xlfn.IFNA(VLOOKUP(B477, '[1]Landfall Stats'!A:G, 5, 0), "No LF")</f>
        <v>90</v>
      </c>
      <c r="I477" s="3">
        <f>_xlfn.IFNA(VLOOKUP(B477, '[1]Landfall Stats'!A:G, 6, 0), "No LF")</f>
        <v>954</v>
      </c>
      <c r="J477" s="4" t="s">
        <v>785</v>
      </c>
      <c r="K477" s="3">
        <v>11</v>
      </c>
      <c r="L477" s="3"/>
      <c r="M477" s="3"/>
      <c r="N477" s="3"/>
      <c r="O477" s="3"/>
      <c r="P477" s="3"/>
      <c r="Q477" s="3"/>
      <c r="R477" s="3">
        <v>4</v>
      </c>
      <c r="S477" s="3" t="s">
        <v>51</v>
      </c>
      <c r="T477" s="3"/>
      <c r="U477" s="3"/>
      <c r="V477" s="3"/>
      <c r="W477" s="3"/>
      <c r="X477" s="3">
        <v>5</v>
      </c>
      <c r="Y477" s="3" t="s">
        <v>37</v>
      </c>
      <c r="Z477" s="3">
        <v>2</v>
      </c>
      <c r="AA477" s="3" t="s">
        <v>37</v>
      </c>
      <c r="AB477" s="3"/>
      <c r="AC477" s="3"/>
      <c r="AD477" s="3"/>
      <c r="AE477" s="3"/>
    </row>
    <row r="478" spans="1:31" ht="11.25" customHeight="1" x14ac:dyDescent="0.2">
      <c r="A478" s="3">
        <v>2008</v>
      </c>
      <c r="B478" s="3" t="s">
        <v>786</v>
      </c>
      <c r="C478" s="3" t="str">
        <f>VLOOKUP($B478, '[1]HURDAT Query'!$A$1:$F$1030, 3, 0)</f>
        <v>HANNA</v>
      </c>
      <c r="D478" s="3">
        <f>VLOOKUP($B478, '[1]HURDAT Query'!$A$1:$F$1030, 4, 0)</f>
        <v>1</v>
      </c>
      <c r="E478" s="3">
        <f>VLOOKUP($B478, '[1]HURDAT Query'!$A$1:$F$1030, 5, 0)</f>
        <v>75</v>
      </c>
      <c r="F478" s="3">
        <f>VLOOKUP($B478, '[1]HURDAT Query'!$A$1:$F$1030, 6, 0)</f>
        <v>977</v>
      </c>
      <c r="G478" s="3" t="str">
        <f>_xlfn.IFNA(VLOOKUP(B478, '[1]Landfall Stats'!A:G, 7, 0), "No LF")</f>
        <v>NA</v>
      </c>
      <c r="H478" s="3">
        <f>_xlfn.IFNA(VLOOKUP(B478, '[1]Landfall Stats'!A:G, 5, 0), "No LF")</f>
        <v>60</v>
      </c>
      <c r="I478" s="3">
        <f>_xlfn.IFNA(VLOOKUP(B478, '[1]Landfall Stats'!A:G, 6, 0), "No LF")</f>
        <v>981</v>
      </c>
      <c r="J478" s="4" t="s">
        <v>787</v>
      </c>
      <c r="K478" s="3">
        <v>0</v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2.75" customHeight="1" x14ac:dyDescent="0.2">
      <c r="A479" s="3">
        <v>2008</v>
      </c>
      <c r="B479" s="3" t="s">
        <v>788</v>
      </c>
      <c r="C479" s="3" t="str">
        <f>VLOOKUP($B479, '[1]HURDAT Query'!$A$1:$F$1030, 3, 0)</f>
        <v>IKE</v>
      </c>
      <c r="D479" s="3">
        <f>VLOOKUP($B479, '[1]HURDAT Query'!$A$1:$F$1030, 4, 0)</f>
        <v>4</v>
      </c>
      <c r="E479" s="3">
        <f>VLOOKUP($B479, '[1]HURDAT Query'!$A$1:$F$1030, 5, 0)</f>
        <v>125</v>
      </c>
      <c r="F479" s="3">
        <f>VLOOKUP($B479, '[1]HURDAT Query'!$A$1:$F$1030, 6, 0)</f>
        <v>935</v>
      </c>
      <c r="G479" s="3">
        <f>_xlfn.IFNA(VLOOKUP(B479, '[1]Landfall Stats'!A:G, 7, 0), "No LF")</f>
        <v>2</v>
      </c>
      <c r="H479" s="3">
        <f>_xlfn.IFNA(VLOOKUP(B479, '[1]Landfall Stats'!A:G, 5, 0), "No LF")</f>
        <v>95</v>
      </c>
      <c r="I479" s="3">
        <f>_xlfn.IFNA(VLOOKUP(B479, '[1]Landfall Stats'!A:G, 6, 0), "No LF")</f>
        <v>950</v>
      </c>
      <c r="J479" s="4" t="s">
        <v>789</v>
      </c>
      <c r="K479" s="3">
        <v>21</v>
      </c>
      <c r="L479" s="3">
        <v>17</v>
      </c>
      <c r="M479" s="3" t="s">
        <v>790</v>
      </c>
      <c r="N479" s="3"/>
      <c r="O479" s="3"/>
      <c r="P479" s="3"/>
      <c r="Q479" s="3"/>
      <c r="R479" s="3"/>
      <c r="S479" s="3"/>
      <c r="T479" s="3"/>
      <c r="U479" s="3"/>
      <c r="V479" s="3">
        <v>1</v>
      </c>
      <c r="W479" s="3" t="s">
        <v>37</v>
      </c>
      <c r="X479" s="3">
        <v>3</v>
      </c>
      <c r="Y479" s="3" t="s">
        <v>791</v>
      </c>
      <c r="Z479" s="3"/>
      <c r="AA479" s="3"/>
      <c r="AB479" s="3"/>
      <c r="AC479" s="3"/>
      <c r="AD479" s="3"/>
      <c r="AE479" s="3"/>
    </row>
    <row r="480" spans="1:31" ht="12.75" customHeight="1" x14ac:dyDescent="0.2">
      <c r="A480" s="3">
        <v>2008</v>
      </c>
      <c r="B480" s="3" t="s">
        <v>792</v>
      </c>
      <c r="C480" s="3" t="str">
        <f>VLOOKUP($B480, '[1]HURDAT Query'!$A$1:$F$1030, 3, 0)</f>
        <v>JOSEPHINE</v>
      </c>
      <c r="D480" s="3" t="str">
        <f>VLOOKUP($B480, '[1]HURDAT Query'!$A$1:$F$1030, 4, 0)</f>
        <v>NA</v>
      </c>
      <c r="E480" s="3" t="str">
        <f>VLOOKUP($B480, '[1]HURDAT Query'!$A$1:$F$1030, 5, 0)</f>
        <v>NA</v>
      </c>
      <c r="F480" s="3" t="str">
        <f>VLOOKUP($B480, '[1]HURDAT Query'!$A$1:$F$1030, 6, 0)</f>
        <v>NA</v>
      </c>
      <c r="G480" s="3" t="str">
        <f>_xlfn.IFNA(VLOOKUP(B480, '[1]Landfall Stats'!A:G, 7, 0), "No LF")</f>
        <v>No LF</v>
      </c>
      <c r="H480" s="3" t="str">
        <f>_xlfn.IFNA(VLOOKUP(B480, '[1]Landfall Stats'!A:G, 5, 0), "No LF")</f>
        <v>No LF</v>
      </c>
      <c r="I480" s="3" t="str">
        <f>_xlfn.IFNA(VLOOKUP(B480, '[1]Landfall Stats'!A:G, 6, 0), "No LF")</f>
        <v>No LF</v>
      </c>
      <c r="J480" s="4" t="s">
        <v>793</v>
      </c>
      <c r="K480" s="3">
        <v>0</v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2.75" customHeight="1" x14ac:dyDescent="0.2">
      <c r="A481" s="3">
        <v>2008</v>
      </c>
      <c r="B481" s="3" t="s">
        <v>794</v>
      </c>
      <c r="C481" s="3" t="str">
        <f>VLOOKUP($B481, '[1]HURDAT Query'!$A$1:$F$1030, 3, 0)</f>
        <v>KYLE</v>
      </c>
      <c r="D481" s="3">
        <f>VLOOKUP($B481, '[1]HURDAT Query'!$A$1:$F$1030, 4, 0)</f>
        <v>1</v>
      </c>
      <c r="E481" s="3">
        <f>VLOOKUP($B481, '[1]HURDAT Query'!$A$1:$F$1030, 5, 0)</f>
        <v>75</v>
      </c>
      <c r="F481" s="3">
        <f>VLOOKUP($B481, '[1]HURDAT Query'!$A$1:$F$1030, 6, 0)</f>
        <v>984</v>
      </c>
      <c r="G481" s="3" t="str">
        <f>_xlfn.IFNA(VLOOKUP(B481, '[1]Landfall Stats'!A:G, 7, 0), "No LF")</f>
        <v>No LF</v>
      </c>
      <c r="H481" s="3" t="str">
        <f>_xlfn.IFNA(VLOOKUP(B481, '[1]Landfall Stats'!A:G, 5, 0), "No LF")</f>
        <v>No LF</v>
      </c>
      <c r="I481" s="3" t="str">
        <f>_xlfn.IFNA(VLOOKUP(B481, '[1]Landfall Stats'!A:G, 6, 0), "No LF")</f>
        <v>No LF</v>
      </c>
      <c r="J481" s="4" t="s">
        <v>795</v>
      </c>
      <c r="K481" s="3">
        <v>0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2.75" customHeight="1" x14ac:dyDescent="0.2">
      <c r="A482" s="3">
        <v>2008</v>
      </c>
      <c r="B482" s="3" t="s">
        <v>796</v>
      </c>
      <c r="C482" s="3" t="str">
        <f>VLOOKUP($B482, '[1]HURDAT Query'!$A$1:$F$1030, 3, 0)</f>
        <v>LAURA</v>
      </c>
      <c r="D482" s="3" t="str">
        <f>VLOOKUP($B482, '[1]HURDAT Query'!$A$1:$F$1030, 4, 0)</f>
        <v>NA</v>
      </c>
      <c r="E482" s="3" t="str">
        <f>VLOOKUP($B482, '[1]HURDAT Query'!$A$1:$F$1030, 5, 0)</f>
        <v>NA</v>
      </c>
      <c r="F482" s="3" t="str">
        <f>VLOOKUP($B482, '[1]HURDAT Query'!$A$1:$F$1030, 6, 0)</f>
        <v>NA</v>
      </c>
      <c r="G482" s="3" t="str">
        <f>_xlfn.IFNA(VLOOKUP(B482, '[1]Landfall Stats'!A:G, 7, 0), "No LF")</f>
        <v>No LF</v>
      </c>
      <c r="H482" s="3" t="str">
        <f>_xlfn.IFNA(VLOOKUP(B482, '[1]Landfall Stats'!A:G, 5, 0), "No LF")</f>
        <v>No LF</v>
      </c>
      <c r="I482" s="3" t="str">
        <f>_xlfn.IFNA(VLOOKUP(B482, '[1]Landfall Stats'!A:G, 6, 0), "No LF")</f>
        <v>No LF</v>
      </c>
      <c r="J482" s="4" t="s">
        <v>797</v>
      </c>
      <c r="K482" s="3">
        <v>0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2.75" customHeight="1" x14ac:dyDescent="0.2">
      <c r="A483" s="3">
        <v>2008</v>
      </c>
      <c r="B483" s="3" t="s">
        <v>798</v>
      </c>
      <c r="C483" s="3" t="str">
        <f>VLOOKUP($B483, '[1]HURDAT Query'!$A$1:$F$1030, 3, 0)</f>
        <v>MARCO</v>
      </c>
      <c r="D483" s="3" t="str">
        <f>VLOOKUP($B483, '[1]HURDAT Query'!$A$1:$F$1030, 4, 0)</f>
        <v>NA</v>
      </c>
      <c r="E483" s="3" t="str">
        <f>VLOOKUP($B483, '[1]HURDAT Query'!$A$1:$F$1030, 5, 0)</f>
        <v>NA</v>
      </c>
      <c r="F483" s="3" t="str">
        <f>VLOOKUP($B483, '[1]HURDAT Query'!$A$1:$F$1030, 6, 0)</f>
        <v>NA</v>
      </c>
      <c r="G483" s="3" t="str">
        <f>_xlfn.IFNA(VLOOKUP(B483, '[1]Landfall Stats'!A:G, 7, 0), "No LF")</f>
        <v>No LF</v>
      </c>
      <c r="H483" s="3" t="str">
        <f>_xlfn.IFNA(VLOOKUP(B483, '[1]Landfall Stats'!A:G, 5, 0), "No LF")</f>
        <v>No LF</v>
      </c>
      <c r="I483" s="3" t="str">
        <f>_xlfn.IFNA(VLOOKUP(B483, '[1]Landfall Stats'!A:G, 6, 0), "No LF")</f>
        <v>No LF</v>
      </c>
      <c r="J483" s="4" t="s">
        <v>799</v>
      </c>
      <c r="K483" s="3">
        <v>0</v>
      </c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2.75" customHeight="1" x14ac:dyDescent="0.2">
      <c r="A484" s="3">
        <v>2008</v>
      </c>
      <c r="B484" s="3" t="s">
        <v>800</v>
      </c>
      <c r="C484" s="3" t="str">
        <f>VLOOKUP($B484, '[1]HURDAT Query'!$A$1:$F$1030, 3, 0)</f>
        <v>NANA</v>
      </c>
      <c r="D484" s="3" t="str">
        <f>VLOOKUP($B484, '[1]HURDAT Query'!$A$1:$F$1030, 4, 0)</f>
        <v>NA</v>
      </c>
      <c r="E484" s="3" t="str">
        <f>VLOOKUP($B484, '[1]HURDAT Query'!$A$1:$F$1030, 5, 0)</f>
        <v>NA</v>
      </c>
      <c r="F484" s="3" t="str">
        <f>VLOOKUP($B484, '[1]HURDAT Query'!$A$1:$F$1030, 6, 0)</f>
        <v>NA</v>
      </c>
      <c r="G484" s="3" t="str">
        <f>_xlfn.IFNA(VLOOKUP(B484, '[1]Landfall Stats'!A:G, 7, 0), "No LF")</f>
        <v>No LF</v>
      </c>
      <c r="H484" s="3" t="str">
        <f>_xlfn.IFNA(VLOOKUP(B484, '[1]Landfall Stats'!A:G, 5, 0), "No LF")</f>
        <v>No LF</v>
      </c>
      <c r="I484" s="3" t="str">
        <f>_xlfn.IFNA(VLOOKUP(B484, '[1]Landfall Stats'!A:G, 6, 0), "No LF")</f>
        <v>No LF</v>
      </c>
      <c r="J484" s="4" t="s">
        <v>801</v>
      </c>
      <c r="K484" s="3">
        <v>0</v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2.75" customHeight="1" x14ac:dyDescent="0.2">
      <c r="A485" s="3">
        <v>2008</v>
      </c>
      <c r="B485" s="3" t="s">
        <v>802</v>
      </c>
      <c r="C485" s="3" t="str">
        <f>VLOOKUP($B485, '[1]HURDAT Query'!$A$1:$F$1030, 3, 0)</f>
        <v>OMAR</v>
      </c>
      <c r="D485" s="3">
        <f>VLOOKUP($B485, '[1]HURDAT Query'!$A$1:$F$1030, 4, 0)</f>
        <v>4</v>
      </c>
      <c r="E485" s="3">
        <f>VLOOKUP($B485, '[1]HURDAT Query'!$A$1:$F$1030, 5, 0)</f>
        <v>115</v>
      </c>
      <c r="F485" s="3">
        <f>VLOOKUP($B485, '[1]HURDAT Query'!$A$1:$F$1030, 6, 0)</f>
        <v>958</v>
      </c>
      <c r="G485" s="3" t="str">
        <f>_xlfn.IFNA(VLOOKUP(B485, '[1]Landfall Stats'!A:G, 7, 0), "No LF")</f>
        <v>No LF</v>
      </c>
      <c r="H485" s="3" t="str">
        <f>_xlfn.IFNA(VLOOKUP(B485, '[1]Landfall Stats'!A:G, 5, 0), "No LF")</f>
        <v>No LF</v>
      </c>
      <c r="I485" s="3" t="str">
        <f>_xlfn.IFNA(VLOOKUP(B485, '[1]Landfall Stats'!A:G, 6, 0), "No LF")</f>
        <v>No LF</v>
      </c>
      <c r="J485" s="4" t="s">
        <v>803</v>
      </c>
      <c r="K485" s="3">
        <v>0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2.75" customHeight="1" x14ac:dyDescent="0.2">
      <c r="A486" s="3">
        <v>2008</v>
      </c>
      <c r="B486" s="3" t="s">
        <v>804</v>
      </c>
      <c r="C486" s="3" t="str">
        <f>VLOOKUP($B486, '[1]HURDAT Query'!$A$1:$F$1030, 3, 0)</f>
        <v>SIXTEEN</v>
      </c>
      <c r="D486" s="3" t="str">
        <f>VLOOKUP($B486, '[1]HURDAT Query'!$A$1:$F$1030, 4, 0)</f>
        <v>NA</v>
      </c>
      <c r="E486" s="3" t="str">
        <f>VLOOKUP($B486, '[1]HURDAT Query'!$A$1:$F$1030, 5, 0)</f>
        <v>NA</v>
      </c>
      <c r="F486" s="3" t="str">
        <f>VLOOKUP($B486, '[1]HURDAT Query'!$A$1:$F$1030, 6, 0)</f>
        <v>NA</v>
      </c>
      <c r="G486" s="3" t="str">
        <f>_xlfn.IFNA(VLOOKUP(B486, '[1]Landfall Stats'!A:G, 7, 0), "No LF")</f>
        <v>No LF</v>
      </c>
      <c r="H486" s="3" t="str">
        <f>_xlfn.IFNA(VLOOKUP(B486, '[1]Landfall Stats'!A:G, 5, 0), "No LF")</f>
        <v>No LF</v>
      </c>
      <c r="I486" s="3" t="str">
        <f>_xlfn.IFNA(VLOOKUP(B486, '[1]Landfall Stats'!A:G, 6, 0), "No LF")</f>
        <v>No LF</v>
      </c>
      <c r="J486" s="4" t="s">
        <v>805</v>
      </c>
      <c r="K486" s="3">
        <v>0</v>
      </c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2.75" customHeight="1" x14ac:dyDescent="0.2">
      <c r="A487" s="3">
        <v>2008</v>
      </c>
      <c r="B487" s="3" t="s">
        <v>806</v>
      </c>
      <c r="C487" s="3" t="str">
        <f>VLOOKUP($B487, '[1]HURDAT Query'!$A$1:$F$1030, 3, 0)</f>
        <v>PALOMA</v>
      </c>
      <c r="D487" s="3">
        <f>VLOOKUP($B487, '[1]HURDAT Query'!$A$1:$F$1030, 4, 0)</f>
        <v>4</v>
      </c>
      <c r="E487" s="3">
        <f>VLOOKUP($B487, '[1]HURDAT Query'!$A$1:$F$1030, 5, 0)</f>
        <v>125</v>
      </c>
      <c r="F487" s="3">
        <f>VLOOKUP($B487, '[1]HURDAT Query'!$A$1:$F$1030, 6, 0)</f>
        <v>944</v>
      </c>
      <c r="G487" s="3" t="str">
        <f>_xlfn.IFNA(VLOOKUP(B487, '[1]Landfall Stats'!A:G, 7, 0), "No LF")</f>
        <v>No LF</v>
      </c>
      <c r="H487" s="3" t="str">
        <f>_xlfn.IFNA(VLOOKUP(B487, '[1]Landfall Stats'!A:G, 5, 0), "No LF")</f>
        <v>No LF</v>
      </c>
      <c r="I487" s="3" t="str">
        <f>_xlfn.IFNA(VLOOKUP(B487, '[1]Landfall Stats'!A:G, 6, 0), "No LF")</f>
        <v>No LF</v>
      </c>
      <c r="J487" s="4" t="s">
        <v>807</v>
      </c>
      <c r="K487" s="3">
        <v>0</v>
      </c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2.75" customHeight="1" x14ac:dyDescent="0.2">
      <c r="A488" s="3">
        <v>2009</v>
      </c>
      <c r="B488" s="3" t="s">
        <v>808</v>
      </c>
      <c r="C488" s="3" t="str">
        <f>VLOOKUP($B488, '[1]HURDAT Query'!$A$1:$F$1030, 3, 0)</f>
        <v>ONE</v>
      </c>
      <c r="D488" s="3" t="str">
        <f>VLOOKUP($B488, '[1]HURDAT Query'!$A$1:$F$1030, 4, 0)</f>
        <v>NA</v>
      </c>
      <c r="E488" s="3" t="str">
        <f>VLOOKUP($B488, '[1]HURDAT Query'!$A$1:$F$1030, 5, 0)</f>
        <v>NA</v>
      </c>
      <c r="F488" s="3" t="str">
        <f>VLOOKUP($B488, '[1]HURDAT Query'!$A$1:$F$1030, 6, 0)</f>
        <v>NA</v>
      </c>
      <c r="G488" s="3" t="str">
        <f>_xlfn.IFNA(VLOOKUP(B488, '[1]Landfall Stats'!A:G, 7, 0), "No LF")</f>
        <v>No LF</v>
      </c>
      <c r="H488" s="3" t="str">
        <f>_xlfn.IFNA(VLOOKUP(B488, '[1]Landfall Stats'!A:G, 5, 0), "No LF")</f>
        <v>No LF</v>
      </c>
      <c r="I488" s="3" t="str">
        <f>_xlfn.IFNA(VLOOKUP(B488, '[1]Landfall Stats'!A:G, 6, 0), "No LF")</f>
        <v>No LF</v>
      </c>
      <c r="J488" s="4" t="s">
        <v>809</v>
      </c>
      <c r="K488" s="3">
        <v>0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2.75" customHeight="1" x14ac:dyDescent="0.2">
      <c r="A489" s="3">
        <v>2009</v>
      </c>
      <c r="B489" s="3" t="s">
        <v>810</v>
      </c>
      <c r="C489" s="3" t="str">
        <f>VLOOKUP($B489, '[1]HURDAT Query'!$A$1:$F$1030, 3, 0)</f>
        <v>ANA</v>
      </c>
      <c r="D489" s="3" t="str">
        <f>VLOOKUP($B489, '[1]HURDAT Query'!$A$1:$F$1030, 4, 0)</f>
        <v>NA</v>
      </c>
      <c r="E489" s="3" t="str">
        <f>VLOOKUP($B489, '[1]HURDAT Query'!$A$1:$F$1030, 5, 0)</f>
        <v>NA</v>
      </c>
      <c r="F489" s="3" t="str">
        <f>VLOOKUP($B489, '[1]HURDAT Query'!$A$1:$F$1030, 6, 0)</f>
        <v>NA</v>
      </c>
      <c r="G489" s="3" t="str">
        <f>_xlfn.IFNA(VLOOKUP(B489, '[1]Landfall Stats'!A:G, 7, 0), "No LF")</f>
        <v>No LF</v>
      </c>
      <c r="H489" s="3" t="str">
        <f>_xlfn.IFNA(VLOOKUP(B489, '[1]Landfall Stats'!A:G, 5, 0), "No LF")</f>
        <v>No LF</v>
      </c>
      <c r="I489" s="3" t="str">
        <f>_xlfn.IFNA(VLOOKUP(B489, '[1]Landfall Stats'!A:G, 6, 0), "No LF")</f>
        <v>No LF</v>
      </c>
      <c r="J489" s="4" t="s">
        <v>811</v>
      </c>
      <c r="K489" s="3">
        <v>0</v>
      </c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2.75" customHeight="1" x14ac:dyDescent="0.2">
      <c r="A490" s="3">
        <v>2009</v>
      </c>
      <c r="B490" s="3" t="s">
        <v>812</v>
      </c>
      <c r="C490" s="3" t="str">
        <f>VLOOKUP($B490, '[1]HURDAT Query'!$A$1:$F$1030, 3, 0)</f>
        <v>BILL</v>
      </c>
      <c r="D490" s="3">
        <f>VLOOKUP($B490, '[1]HURDAT Query'!$A$1:$F$1030, 4, 0)</f>
        <v>4</v>
      </c>
      <c r="E490" s="3">
        <f>VLOOKUP($B490, '[1]HURDAT Query'!$A$1:$F$1030, 5, 0)</f>
        <v>115</v>
      </c>
      <c r="F490" s="3">
        <f>VLOOKUP($B490, '[1]HURDAT Query'!$A$1:$F$1030, 6, 0)</f>
        <v>943</v>
      </c>
      <c r="G490" s="3" t="str">
        <f>_xlfn.IFNA(VLOOKUP(B490, '[1]Landfall Stats'!A:G, 7, 0), "No LF")</f>
        <v>No LF</v>
      </c>
      <c r="H490" s="3" t="str">
        <f>_xlfn.IFNA(VLOOKUP(B490, '[1]Landfall Stats'!A:G, 5, 0), "No LF")</f>
        <v>No LF</v>
      </c>
      <c r="I490" s="3" t="str">
        <f>_xlfn.IFNA(VLOOKUP(B490, '[1]Landfall Stats'!A:G, 6, 0), "No LF")</f>
        <v>No LF</v>
      </c>
      <c r="J490" s="4" t="s">
        <v>813</v>
      </c>
      <c r="K490" s="3">
        <v>2</v>
      </c>
      <c r="L490" s="3"/>
      <c r="M490" s="3"/>
      <c r="N490" s="3">
        <v>1</v>
      </c>
      <c r="O490" s="3" t="s">
        <v>495</v>
      </c>
      <c r="P490" s="3">
        <v>1</v>
      </c>
      <c r="Q490" s="3" t="s">
        <v>51</v>
      </c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2.75" customHeight="1" x14ac:dyDescent="0.2">
      <c r="A491" s="3">
        <v>2009</v>
      </c>
      <c r="B491" s="3" t="s">
        <v>814</v>
      </c>
      <c r="C491" s="3" t="str">
        <f>VLOOKUP($B491, '[1]HURDAT Query'!$A$1:$F$1030, 3, 0)</f>
        <v>CLAUDETTE</v>
      </c>
      <c r="D491" s="3" t="str">
        <f>VLOOKUP($B491, '[1]HURDAT Query'!$A$1:$F$1030, 4, 0)</f>
        <v>NA</v>
      </c>
      <c r="E491" s="3" t="str">
        <f>VLOOKUP($B491, '[1]HURDAT Query'!$A$1:$F$1030, 5, 0)</f>
        <v>NA</v>
      </c>
      <c r="F491" s="3" t="str">
        <f>VLOOKUP($B491, '[1]HURDAT Query'!$A$1:$F$1030, 6, 0)</f>
        <v>NA</v>
      </c>
      <c r="G491" s="3" t="str">
        <f>_xlfn.IFNA(VLOOKUP(B491, '[1]Landfall Stats'!A:G, 7, 0), "No LF")</f>
        <v>NA</v>
      </c>
      <c r="H491" s="3">
        <f>_xlfn.IFNA(VLOOKUP(B491, '[1]Landfall Stats'!A:G, 5, 0), "No LF")</f>
        <v>40</v>
      </c>
      <c r="I491" s="3">
        <f>_xlfn.IFNA(VLOOKUP(B491, '[1]Landfall Stats'!A:G, 6, 0), "No LF")</f>
        <v>1005</v>
      </c>
      <c r="J491" s="4" t="s">
        <v>815</v>
      </c>
      <c r="K491" s="3">
        <v>2</v>
      </c>
      <c r="L491" s="3"/>
      <c r="M491" s="3"/>
      <c r="N491" s="3">
        <v>2</v>
      </c>
      <c r="O491" s="3" t="s">
        <v>51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2.75" customHeight="1" x14ac:dyDescent="0.2">
      <c r="A492" s="3">
        <v>2009</v>
      </c>
      <c r="B492" s="3" t="s">
        <v>816</v>
      </c>
      <c r="C492" s="3" t="str">
        <f>VLOOKUP($B492, '[1]HURDAT Query'!$A$1:$F$1030, 3, 0)</f>
        <v>DANNY</v>
      </c>
      <c r="D492" s="3" t="str">
        <f>VLOOKUP($B492, '[1]HURDAT Query'!$A$1:$F$1030, 4, 0)</f>
        <v>NA</v>
      </c>
      <c r="E492" s="3" t="str">
        <f>VLOOKUP($B492, '[1]HURDAT Query'!$A$1:$F$1030, 5, 0)</f>
        <v>NA</v>
      </c>
      <c r="F492" s="3" t="str">
        <f>VLOOKUP($B492, '[1]HURDAT Query'!$A$1:$F$1030, 6, 0)</f>
        <v>NA</v>
      </c>
      <c r="G492" s="3" t="str">
        <f>_xlfn.IFNA(VLOOKUP(B492, '[1]Landfall Stats'!A:G, 7, 0), "No LF")</f>
        <v>No LF</v>
      </c>
      <c r="H492" s="3" t="str">
        <f>_xlfn.IFNA(VLOOKUP(B492, '[1]Landfall Stats'!A:G, 5, 0), "No LF")</f>
        <v>No LF</v>
      </c>
      <c r="I492" s="3" t="str">
        <f>_xlfn.IFNA(VLOOKUP(B492, '[1]Landfall Stats'!A:G, 6, 0), "No LF")</f>
        <v>No LF</v>
      </c>
      <c r="J492" s="4" t="s">
        <v>817</v>
      </c>
      <c r="K492" s="3">
        <v>1</v>
      </c>
      <c r="L492" s="3"/>
      <c r="M492" s="3"/>
      <c r="N492" s="3">
        <v>1</v>
      </c>
      <c r="O492" s="3" t="s">
        <v>290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2.75" customHeight="1" x14ac:dyDescent="0.2">
      <c r="A493" s="3">
        <v>2009</v>
      </c>
      <c r="B493" s="3" t="s">
        <v>818</v>
      </c>
      <c r="C493" s="3" t="str">
        <f>VLOOKUP($B493, '[1]HURDAT Query'!$A$1:$F$1030, 3, 0)</f>
        <v>ERIKA</v>
      </c>
      <c r="D493" s="3" t="str">
        <f>VLOOKUP($B493, '[1]HURDAT Query'!$A$1:$F$1030, 4, 0)</f>
        <v>NA</v>
      </c>
      <c r="E493" s="3" t="str">
        <f>VLOOKUP($B493, '[1]HURDAT Query'!$A$1:$F$1030, 5, 0)</f>
        <v>NA</v>
      </c>
      <c r="F493" s="3" t="str">
        <f>VLOOKUP($B493, '[1]HURDAT Query'!$A$1:$F$1030, 6, 0)</f>
        <v>NA</v>
      </c>
      <c r="G493" s="3" t="str">
        <f>_xlfn.IFNA(VLOOKUP(B493, '[1]Landfall Stats'!A:G, 7, 0), "No LF")</f>
        <v>No LF</v>
      </c>
      <c r="H493" s="3" t="str">
        <f>_xlfn.IFNA(VLOOKUP(B493, '[1]Landfall Stats'!A:G, 5, 0), "No LF")</f>
        <v>No LF</v>
      </c>
      <c r="I493" s="3" t="str">
        <f>_xlfn.IFNA(VLOOKUP(B493, '[1]Landfall Stats'!A:G, 6, 0), "No LF")</f>
        <v>No LF</v>
      </c>
      <c r="J493" s="4" t="s">
        <v>819</v>
      </c>
      <c r="K493" s="3">
        <v>0</v>
      </c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2.75" customHeight="1" x14ac:dyDescent="0.2">
      <c r="A494" s="3">
        <v>2009</v>
      </c>
      <c r="B494" s="3" t="s">
        <v>820</v>
      </c>
      <c r="C494" s="3" t="str">
        <f>VLOOKUP($B494, '[1]HURDAT Query'!$A$1:$F$1030, 3, 0)</f>
        <v>FRED</v>
      </c>
      <c r="D494" s="3">
        <f>VLOOKUP($B494, '[1]HURDAT Query'!$A$1:$F$1030, 4, 0)</f>
        <v>3</v>
      </c>
      <c r="E494" s="3">
        <f>VLOOKUP($B494, '[1]HURDAT Query'!$A$1:$F$1030, 5, 0)</f>
        <v>105</v>
      </c>
      <c r="F494" s="3">
        <f>VLOOKUP($B494, '[1]HURDAT Query'!$A$1:$F$1030, 6, 0)</f>
        <v>958</v>
      </c>
      <c r="G494" s="3" t="str">
        <f>_xlfn.IFNA(VLOOKUP(B494, '[1]Landfall Stats'!A:G, 7, 0), "No LF")</f>
        <v>No LF</v>
      </c>
      <c r="H494" s="3" t="str">
        <f>_xlfn.IFNA(VLOOKUP(B494, '[1]Landfall Stats'!A:G, 5, 0), "No LF")</f>
        <v>No LF</v>
      </c>
      <c r="I494" s="3" t="str">
        <f>_xlfn.IFNA(VLOOKUP(B494, '[1]Landfall Stats'!A:G, 6, 0), "No LF")</f>
        <v>No LF</v>
      </c>
      <c r="J494" s="4" t="s">
        <v>821</v>
      </c>
      <c r="K494" s="3">
        <v>0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2.75" customHeight="1" x14ac:dyDescent="0.2">
      <c r="A495" s="3">
        <v>2009</v>
      </c>
      <c r="B495" s="3" t="s">
        <v>822</v>
      </c>
      <c r="C495" s="3" t="str">
        <f>VLOOKUP($B495, '[1]HURDAT Query'!$A$1:$F$1030, 3, 0)</f>
        <v>EIGHT</v>
      </c>
      <c r="D495" s="3" t="str">
        <f>VLOOKUP($B495, '[1]HURDAT Query'!$A$1:$F$1030, 4, 0)</f>
        <v>NA</v>
      </c>
      <c r="E495" s="3" t="str">
        <f>VLOOKUP($B495, '[1]HURDAT Query'!$A$1:$F$1030, 5, 0)</f>
        <v>NA</v>
      </c>
      <c r="F495" s="3" t="str">
        <f>VLOOKUP($B495, '[1]HURDAT Query'!$A$1:$F$1030, 6, 0)</f>
        <v>NA</v>
      </c>
      <c r="G495" s="3" t="str">
        <f>_xlfn.IFNA(VLOOKUP(B495, '[1]Landfall Stats'!A:G, 7, 0), "No LF")</f>
        <v>No LF</v>
      </c>
      <c r="H495" s="3" t="str">
        <f>_xlfn.IFNA(VLOOKUP(B495, '[1]Landfall Stats'!A:G, 5, 0), "No LF")</f>
        <v>No LF</v>
      </c>
      <c r="I495" s="3" t="str">
        <f>_xlfn.IFNA(VLOOKUP(B495, '[1]Landfall Stats'!A:G, 6, 0), "No LF")</f>
        <v>No LF</v>
      </c>
      <c r="J495" s="4" t="s">
        <v>823</v>
      </c>
      <c r="K495" s="3">
        <v>0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2.75" customHeight="1" x14ac:dyDescent="0.2">
      <c r="A496" s="3">
        <v>2009</v>
      </c>
      <c r="B496" s="3" t="s">
        <v>824</v>
      </c>
      <c r="C496" s="3" t="str">
        <f>VLOOKUP($B496, '[1]HURDAT Query'!$A$1:$F$1030, 3, 0)</f>
        <v>GRACE</v>
      </c>
      <c r="D496" s="3" t="str">
        <f>VLOOKUP($B496, '[1]HURDAT Query'!$A$1:$F$1030, 4, 0)</f>
        <v>NA</v>
      </c>
      <c r="E496" s="3" t="str">
        <f>VLOOKUP($B496, '[1]HURDAT Query'!$A$1:$F$1030, 5, 0)</f>
        <v>NA</v>
      </c>
      <c r="F496" s="3" t="str">
        <f>VLOOKUP($B496, '[1]HURDAT Query'!$A$1:$F$1030, 6, 0)</f>
        <v>NA</v>
      </c>
      <c r="G496" s="3" t="str">
        <f>_xlfn.IFNA(VLOOKUP(B496, '[1]Landfall Stats'!A:G, 7, 0), "No LF")</f>
        <v>No LF</v>
      </c>
      <c r="H496" s="3" t="str">
        <f>_xlfn.IFNA(VLOOKUP(B496, '[1]Landfall Stats'!A:G, 5, 0), "No LF")</f>
        <v>No LF</v>
      </c>
      <c r="I496" s="3" t="str">
        <f>_xlfn.IFNA(VLOOKUP(B496, '[1]Landfall Stats'!A:G, 6, 0), "No LF")</f>
        <v>No LF</v>
      </c>
      <c r="J496" s="4" t="s">
        <v>825</v>
      </c>
      <c r="K496" s="3">
        <v>0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2.75" customHeight="1" x14ac:dyDescent="0.2">
      <c r="A497" s="3">
        <v>2009</v>
      </c>
      <c r="B497" s="3" t="s">
        <v>826</v>
      </c>
      <c r="C497" s="3" t="str">
        <f>VLOOKUP($B497, '[1]HURDAT Query'!$A$1:$F$1030, 3, 0)</f>
        <v>HENRI</v>
      </c>
      <c r="D497" s="3" t="str">
        <f>VLOOKUP($B497, '[1]HURDAT Query'!$A$1:$F$1030, 4, 0)</f>
        <v>NA</v>
      </c>
      <c r="E497" s="3" t="str">
        <f>VLOOKUP($B497, '[1]HURDAT Query'!$A$1:$F$1030, 5, 0)</f>
        <v>NA</v>
      </c>
      <c r="F497" s="3" t="str">
        <f>VLOOKUP($B497, '[1]HURDAT Query'!$A$1:$F$1030, 6, 0)</f>
        <v>NA</v>
      </c>
      <c r="G497" s="3" t="str">
        <f>_xlfn.IFNA(VLOOKUP(B497, '[1]Landfall Stats'!A:G, 7, 0), "No LF")</f>
        <v>No LF</v>
      </c>
      <c r="H497" s="3" t="str">
        <f>_xlfn.IFNA(VLOOKUP(B497, '[1]Landfall Stats'!A:G, 5, 0), "No LF")</f>
        <v>No LF</v>
      </c>
      <c r="I497" s="3" t="str">
        <f>_xlfn.IFNA(VLOOKUP(B497, '[1]Landfall Stats'!A:G, 6, 0), "No LF")</f>
        <v>No LF</v>
      </c>
      <c r="J497" s="4" t="s">
        <v>827</v>
      </c>
      <c r="K497" s="3">
        <v>0</v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12.75" customHeight="1" x14ac:dyDescent="0.2">
      <c r="A498" s="3">
        <v>2009</v>
      </c>
      <c r="B498" s="3" t="s">
        <v>828</v>
      </c>
      <c r="C498" s="3" t="str">
        <f>VLOOKUP($B498, '[1]HURDAT Query'!$A$1:$F$1030, 3, 0)</f>
        <v>IDA</v>
      </c>
      <c r="D498" s="3">
        <f>VLOOKUP($B498, '[1]HURDAT Query'!$A$1:$F$1030, 4, 0)</f>
        <v>2</v>
      </c>
      <c r="E498" s="3">
        <f>VLOOKUP($B498, '[1]HURDAT Query'!$A$1:$F$1030, 5, 0)</f>
        <v>90</v>
      </c>
      <c r="F498" s="3">
        <f>VLOOKUP($B498, '[1]HURDAT Query'!$A$1:$F$1030, 6, 0)</f>
        <v>975</v>
      </c>
      <c r="G498" s="3" t="str">
        <f>_xlfn.IFNA(VLOOKUP(B498, '[1]Landfall Stats'!A:G, 7, 0), "No LF")</f>
        <v>NA</v>
      </c>
      <c r="H498" s="3">
        <f>_xlfn.IFNA(VLOOKUP(B498, '[1]Landfall Stats'!A:G, 5, 0), "No LF")</f>
        <v>45</v>
      </c>
      <c r="I498" s="3">
        <f>_xlfn.IFNA(VLOOKUP(B498, '[1]Landfall Stats'!A:G, 6, 0), "No LF")</f>
        <v>998</v>
      </c>
      <c r="J498" s="4" t="s">
        <v>829</v>
      </c>
      <c r="K498" s="3">
        <v>1</v>
      </c>
      <c r="L498" s="3"/>
      <c r="M498" s="3"/>
      <c r="N498" s="3"/>
      <c r="O498" s="3"/>
      <c r="P498" s="3">
        <v>1</v>
      </c>
      <c r="Q498" s="3" t="s">
        <v>103</v>
      </c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2.75" customHeight="1" x14ac:dyDescent="0.2">
      <c r="A499" s="3">
        <v>2010</v>
      </c>
      <c r="B499" s="3" t="s">
        <v>830</v>
      </c>
      <c r="C499" s="3" t="str">
        <f>VLOOKUP($B499, '[1]HURDAT Query'!$A$1:$F$1030, 3, 0)</f>
        <v>ALEX</v>
      </c>
      <c r="D499" s="3">
        <f>VLOOKUP($B499, '[1]HURDAT Query'!$A$1:$F$1030, 4, 0)</f>
        <v>2</v>
      </c>
      <c r="E499" s="3">
        <f>VLOOKUP($B499, '[1]HURDAT Query'!$A$1:$F$1030, 5, 0)</f>
        <v>95</v>
      </c>
      <c r="F499" s="3">
        <f>VLOOKUP($B499, '[1]HURDAT Query'!$A$1:$F$1030, 6, 0)</f>
        <v>946</v>
      </c>
      <c r="G499" s="3" t="str">
        <f>_xlfn.IFNA(VLOOKUP(B499, '[1]Landfall Stats'!A:G, 7, 0), "No LF")</f>
        <v>No LF</v>
      </c>
      <c r="H499" s="3" t="str">
        <f>_xlfn.IFNA(VLOOKUP(B499, '[1]Landfall Stats'!A:G, 5, 0), "No LF")</f>
        <v>No LF</v>
      </c>
      <c r="I499" s="3" t="str">
        <f>_xlfn.IFNA(VLOOKUP(B499, '[1]Landfall Stats'!A:G, 6, 0), "No LF")</f>
        <v>No LF</v>
      </c>
      <c r="J499" s="4" t="s">
        <v>831</v>
      </c>
      <c r="K499" s="3">
        <v>0</v>
      </c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2.75" customHeight="1" x14ac:dyDescent="0.2">
      <c r="A500" s="3">
        <v>2010</v>
      </c>
      <c r="B500" s="3" t="s">
        <v>832</v>
      </c>
      <c r="C500" s="3" t="str">
        <f>VLOOKUP($B500, '[1]HURDAT Query'!$A$1:$F$1030, 3, 0)</f>
        <v>TWO</v>
      </c>
      <c r="D500" s="3" t="str">
        <f>VLOOKUP($B500, '[1]HURDAT Query'!$A$1:$F$1030, 4, 0)</f>
        <v>NA</v>
      </c>
      <c r="E500" s="3" t="str">
        <f>VLOOKUP($B500, '[1]HURDAT Query'!$A$1:$F$1030, 5, 0)</f>
        <v>NA</v>
      </c>
      <c r="F500" s="3" t="str">
        <f>VLOOKUP($B500, '[1]HURDAT Query'!$A$1:$F$1030, 6, 0)</f>
        <v>NA</v>
      </c>
      <c r="G500" s="3" t="str">
        <f>_xlfn.IFNA(VLOOKUP(B500, '[1]Landfall Stats'!A:G, 7, 0), "No LF")</f>
        <v>No LF</v>
      </c>
      <c r="H500" s="3" t="str">
        <f>_xlfn.IFNA(VLOOKUP(B500, '[1]Landfall Stats'!A:G, 5, 0), "No LF")</f>
        <v>No LF</v>
      </c>
      <c r="I500" s="3" t="str">
        <f>_xlfn.IFNA(VLOOKUP(B500, '[1]Landfall Stats'!A:G, 6, 0), "No LF")</f>
        <v>No LF</v>
      </c>
      <c r="J500" s="4" t="s">
        <v>833</v>
      </c>
      <c r="K500" s="3">
        <v>0</v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2.75" customHeight="1" x14ac:dyDescent="0.2">
      <c r="A501" s="3">
        <v>2010</v>
      </c>
      <c r="B501" s="3" t="s">
        <v>834</v>
      </c>
      <c r="C501" s="3" t="str">
        <f>VLOOKUP($B501, '[1]HURDAT Query'!$A$1:$F$1030, 3, 0)</f>
        <v>BONNIE</v>
      </c>
      <c r="D501" s="3" t="str">
        <f>VLOOKUP($B501, '[1]HURDAT Query'!$A$1:$F$1030, 4, 0)</f>
        <v>NA</v>
      </c>
      <c r="E501" s="3" t="str">
        <f>VLOOKUP($B501, '[1]HURDAT Query'!$A$1:$F$1030, 5, 0)</f>
        <v>NA</v>
      </c>
      <c r="F501" s="3" t="str">
        <f>VLOOKUP($B501, '[1]HURDAT Query'!$A$1:$F$1030, 6, 0)</f>
        <v>NA</v>
      </c>
      <c r="G501" s="3" t="str">
        <f>_xlfn.IFNA(VLOOKUP(B501, '[1]Landfall Stats'!A:G, 7, 0), "No LF")</f>
        <v>NA</v>
      </c>
      <c r="H501" s="3">
        <f>_xlfn.IFNA(VLOOKUP(B501, '[1]Landfall Stats'!A:G, 5, 0), "No LF")</f>
        <v>35</v>
      </c>
      <c r="I501" s="3">
        <f>_xlfn.IFNA(VLOOKUP(B501, '[1]Landfall Stats'!A:G, 6, 0), "No LF")</f>
        <v>1007</v>
      </c>
      <c r="J501" s="4" t="s">
        <v>835</v>
      </c>
      <c r="K501" s="3">
        <v>0</v>
      </c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12.75" customHeight="1" x14ac:dyDescent="0.2">
      <c r="A502" s="3">
        <v>2010</v>
      </c>
      <c r="B502" s="3" t="s">
        <v>836</v>
      </c>
      <c r="C502" s="3" t="str">
        <f>VLOOKUP($B502, '[1]HURDAT Query'!$A$1:$F$1030, 3, 0)</f>
        <v>COLIN</v>
      </c>
      <c r="D502" s="3" t="str">
        <f>VLOOKUP($B502, '[1]HURDAT Query'!$A$1:$F$1030, 4, 0)</f>
        <v>NA</v>
      </c>
      <c r="E502" s="3" t="str">
        <f>VLOOKUP($B502, '[1]HURDAT Query'!$A$1:$F$1030, 5, 0)</f>
        <v>NA</v>
      </c>
      <c r="F502" s="3" t="str">
        <f>VLOOKUP($B502, '[1]HURDAT Query'!$A$1:$F$1030, 6, 0)</f>
        <v>NA</v>
      </c>
      <c r="G502" s="3" t="str">
        <f>_xlfn.IFNA(VLOOKUP(B502, '[1]Landfall Stats'!A:G, 7, 0), "No LF")</f>
        <v>No LF</v>
      </c>
      <c r="H502" s="3" t="str">
        <f>_xlfn.IFNA(VLOOKUP(B502, '[1]Landfall Stats'!A:G, 5, 0), "No LF")</f>
        <v>No LF</v>
      </c>
      <c r="I502" s="3" t="str">
        <f>_xlfn.IFNA(VLOOKUP(B502, '[1]Landfall Stats'!A:G, 6, 0), "No LF")</f>
        <v>No LF</v>
      </c>
      <c r="J502" s="4" t="s">
        <v>837</v>
      </c>
      <c r="K502" s="3">
        <v>0</v>
      </c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2.75" customHeight="1" x14ac:dyDescent="0.2">
      <c r="A503" s="3">
        <v>2010</v>
      </c>
      <c r="B503" s="3" t="s">
        <v>838</v>
      </c>
      <c r="C503" s="3" t="str">
        <f>VLOOKUP($B503, '[1]HURDAT Query'!$A$1:$F$1030, 3, 0)</f>
        <v>FIVE</v>
      </c>
      <c r="D503" s="3" t="str">
        <f>VLOOKUP($B503, '[1]HURDAT Query'!$A$1:$F$1030, 4, 0)</f>
        <v>NA</v>
      </c>
      <c r="E503" s="3" t="str">
        <f>VLOOKUP($B503, '[1]HURDAT Query'!$A$1:$F$1030, 5, 0)</f>
        <v>NA</v>
      </c>
      <c r="F503" s="3" t="str">
        <f>VLOOKUP($B503, '[1]HURDAT Query'!$A$1:$F$1030, 6, 0)</f>
        <v>NA</v>
      </c>
      <c r="G503" s="3" t="str">
        <f>_xlfn.IFNA(VLOOKUP(B503, '[1]Landfall Stats'!A:G, 7, 0), "No LF")</f>
        <v>NA</v>
      </c>
      <c r="H503" s="3">
        <f>_xlfn.IFNA(VLOOKUP(B503, '[1]Landfall Stats'!A:G, 5, 0), "No LF")</f>
        <v>25</v>
      </c>
      <c r="I503" s="3">
        <f>_xlfn.IFNA(VLOOKUP(B503, '[1]Landfall Stats'!A:G, 6, 0), "No LF")</f>
        <v>1008</v>
      </c>
      <c r="J503" s="4" t="s">
        <v>839</v>
      </c>
      <c r="K503" s="3">
        <v>0</v>
      </c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2.75" customHeight="1" x14ac:dyDescent="0.2">
      <c r="A504" s="3">
        <v>2010</v>
      </c>
      <c r="B504" s="3" t="s">
        <v>840</v>
      </c>
      <c r="C504" s="3" t="str">
        <f>VLOOKUP($B504, '[1]HURDAT Query'!$A$1:$F$1030, 3, 0)</f>
        <v>DANIELLE</v>
      </c>
      <c r="D504" s="3">
        <f>VLOOKUP($B504, '[1]HURDAT Query'!$A$1:$F$1030, 4, 0)</f>
        <v>4</v>
      </c>
      <c r="E504" s="3">
        <f>VLOOKUP($B504, '[1]HURDAT Query'!$A$1:$F$1030, 5, 0)</f>
        <v>115</v>
      </c>
      <c r="F504" s="3">
        <f>VLOOKUP($B504, '[1]HURDAT Query'!$A$1:$F$1030, 6, 0)</f>
        <v>942</v>
      </c>
      <c r="G504" s="3" t="str">
        <f>_xlfn.IFNA(VLOOKUP(B504, '[1]Landfall Stats'!A:G, 7, 0), "No LF")</f>
        <v>No LF</v>
      </c>
      <c r="H504" s="3" t="str">
        <f>_xlfn.IFNA(VLOOKUP(B504, '[1]Landfall Stats'!A:G, 5, 0), "No LF")</f>
        <v>No LF</v>
      </c>
      <c r="I504" s="3" t="str">
        <f>_xlfn.IFNA(VLOOKUP(B504, '[1]Landfall Stats'!A:G, 6, 0), "No LF")</f>
        <v>No LF</v>
      </c>
      <c r="J504" s="4" t="s">
        <v>841</v>
      </c>
      <c r="K504" s="3">
        <v>1</v>
      </c>
      <c r="L504" s="3"/>
      <c r="M504" s="3"/>
      <c r="N504" s="3">
        <v>1</v>
      </c>
      <c r="O504" s="3" t="s">
        <v>51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2.75" customHeight="1" x14ac:dyDescent="0.2">
      <c r="A505" s="3">
        <v>2010</v>
      </c>
      <c r="B505" s="3" t="s">
        <v>842</v>
      </c>
      <c r="C505" s="3" t="str">
        <f>VLOOKUP($B505, '[1]HURDAT Query'!$A$1:$F$1030, 3, 0)</f>
        <v>EARL</v>
      </c>
      <c r="D505" s="3">
        <f>VLOOKUP($B505, '[1]HURDAT Query'!$A$1:$F$1030, 4, 0)</f>
        <v>4</v>
      </c>
      <c r="E505" s="3">
        <f>VLOOKUP($B505, '[1]HURDAT Query'!$A$1:$F$1030, 5, 0)</f>
        <v>125</v>
      </c>
      <c r="F505" s="3">
        <f>VLOOKUP($B505, '[1]HURDAT Query'!$A$1:$F$1030, 6, 0)</f>
        <v>927</v>
      </c>
      <c r="G505" s="3" t="str">
        <f>_xlfn.IFNA(VLOOKUP(B505, '[1]Landfall Stats'!A:G, 7, 0), "No LF")</f>
        <v>No LF</v>
      </c>
      <c r="H505" s="3" t="str">
        <f>_xlfn.IFNA(VLOOKUP(B505, '[1]Landfall Stats'!A:G, 5, 0), "No LF")</f>
        <v>No LF</v>
      </c>
      <c r="I505" s="3" t="str">
        <f>_xlfn.IFNA(VLOOKUP(B505, '[1]Landfall Stats'!A:G, 6, 0), "No LF")</f>
        <v>No LF</v>
      </c>
      <c r="J505" s="4" t="s">
        <v>843</v>
      </c>
      <c r="K505" s="3">
        <v>4</v>
      </c>
      <c r="L505" s="3"/>
      <c r="M505" s="3"/>
      <c r="N505" s="3">
        <v>2</v>
      </c>
      <c r="O505" s="3" t="s">
        <v>844</v>
      </c>
      <c r="P505" s="3">
        <v>2</v>
      </c>
      <c r="Q505" s="3" t="s">
        <v>84</v>
      </c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12.75" customHeight="1" x14ac:dyDescent="0.2">
      <c r="A506" s="3">
        <v>2010</v>
      </c>
      <c r="B506" s="3" t="s">
        <v>845</v>
      </c>
      <c r="C506" s="3" t="str">
        <f>VLOOKUP($B506, '[1]HURDAT Query'!$A$1:$F$1030, 3, 0)</f>
        <v>FIONA</v>
      </c>
      <c r="D506" s="3" t="str">
        <f>VLOOKUP($B506, '[1]HURDAT Query'!$A$1:$F$1030, 4, 0)</f>
        <v>NA</v>
      </c>
      <c r="E506" s="3" t="str">
        <f>VLOOKUP($B506, '[1]HURDAT Query'!$A$1:$F$1030, 5, 0)</f>
        <v>NA</v>
      </c>
      <c r="F506" s="3" t="str">
        <f>VLOOKUP($B506, '[1]HURDAT Query'!$A$1:$F$1030, 6, 0)</f>
        <v>NA</v>
      </c>
      <c r="G506" s="3" t="str">
        <f>_xlfn.IFNA(VLOOKUP(B506, '[1]Landfall Stats'!A:G, 7, 0), "No LF")</f>
        <v>No LF</v>
      </c>
      <c r="H506" s="3" t="str">
        <f>_xlfn.IFNA(VLOOKUP(B506, '[1]Landfall Stats'!A:G, 5, 0), "No LF")</f>
        <v>No LF</v>
      </c>
      <c r="I506" s="3" t="str">
        <f>_xlfn.IFNA(VLOOKUP(B506, '[1]Landfall Stats'!A:G, 6, 0), "No LF")</f>
        <v>No LF</v>
      </c>
      <c r="J506" s="4" t="s">
        <v>846</v>
      </c>
      <c r="K506" s="3">
        <v>0</v>
      </c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12.75" customHeight="1" x14ac:dyDescent="0.2">
      <c r="A507" s="3">
        <v>2010</v>
      </c>
      <c r="B507" s="3" t="s">
        <v>847</v>
      </c>
      <c r="C507" s="3" t="str">
        <f>VLOOKUP($B507, '[1]HURDAT Query'!$A$1:$F$1030, 3, 0)</f>
        <v>GASTON</v>
      </c>
      <c r="D507" s="3" t="str">
        <f>VLOOKUP($B507, '[1]HURDAT Query'!$A$1:$F$1030, 4, 0)</f>
        <v>NA</v>
      </c>
      <c r="E507" s="3" t="str">
        <f>VLOOKUP($B507, '[1]HURDAT Query'!$A$1:$F$1030, 5, 0)</f>
        <v>NA</v>
      </c>
      <c r="F507" s="3" t="str">
        <f>VLOOKUP($B507, '[1]HURDAT Query'!$A$1:$F$1030, 6, 0)</f>
        <v>NA</v>
      </c>
      <c r="G507" s="3" t="str">
        <f>_xlfn.IFNA(VLOOKUP(B507, '[1]Landfall Stats'!A:G, 7, 0), "No LF")</f>
        <v>No LF</v>
      </c>
      <c r="H507" s="3" t="str">
        <f>_xlfn.IFNA(VLOOKUP(B507, '[1]Landfall Stats'!A:G, 5, 0), "No LF")</f>
        <v>No LF</v>
      </c>
      <c r="I507" s="3" t="str">
        <f>_xlfn.IFNA(VLOOKUP(B507, '[1]Landfall Stats'!A:G, 6, 0), "No LF")</f>
        <v>No LF</v>
      </c>
      <c r="J507" s="4" t="s">
        <v>848</v>
      </c>
      <c r="K507" s="3">
        <v>0</v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12.75" customHeight="1" x14ac:dyDescent="0.2">
      <c r="A508" s="3">
        <v>2010</v>
      </c>
      <c r="B508" s="3" t="s">
        <v>849</v>
      </c>
      <c r="C508" s="3" t="str">
        <f>VLOOKUP($B508, '[1]HURDAT Query'!$A$1:$F$1030, 3, 0)</f>
        <v>HERMINE</v>
      </c>
      <c r="D508" s="3" t="str">
        <f>VLOOKUP($B508, '[1]HURDAT Query'!$A$1:$F$1030, 4, 0)</f>
        <v>NA</v>
      </c>
      <c r="E508" s="3" t="str">
        <f>VLOOKUP($B508, '[1]HURDAT Query'!$A$1:$F$1030, 5, 0)</f>
        <v>NA</v>
      </c>
      <c r="F508" s="3" t="str">
        <f>VLOOKUP($B508, '[1]HURDAT Query'!$A$1:$F$1030, 6, 0)</f>
        <v>NA</v>
      </c>
      <c r="G508" s="3" t="str">
        <f>_xlfn.IFNA(VLOOKUP(B508, '[1]Landfall Stats'!A:G, 7, 0), "No LF")</f>
        <v>No LF</v>
      </c>
      <c r="H508" s="3" t="str">
        <f>_xlfn.IFNA(VLOOKUP(B508, '[1]Landfall Stats'!A:G, 5, 0), "No LF")</f>
        <v>No LF</v>
      </c>
      <c r="I508" s="3" t="str">
        <f>_xlfn.IFNA(VLOOKUP(B508, '[1]Landfall Stats'!A:G, 6, 0), "No LF")</f>
        <v>No LF</v>
      </c>
      <c r="J508" s="4" t="s">
        <v>850</v>
      </c>
      <c r="K508" s="3">
        <v>6</v>
      </c>
      <c r="L508" s="3"/>
      <c r="M508" s="3"/>
      <c r="N508" s="3"/>
      <c r="O508" s="3"/>
      <c r="P508" s="3"/>
      <c r="Q508" s="3"/>
      <c r="R508" s="3">
        <v>1</v>
      </c>
      <c r="S508" s="3" t="s">
        <v>42</v>
      </c>
      <c r="T508" s="3">
        <v>5</v>
      </c>
      <c r="U508" s="3" t="s">
        <v>42</v>
      </c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12.75" customHeight="1" x14ac:dyDescent="0.2">
      <c r="A509" s="3">
        <v>2010</v>
      </c>
      <c r="B509" s="3" t="s">
        <v>851</v>
      </c>
      <c r="C509" s="3" t="str">
        <f>VLOOKUP($B509, '[1]HURDAT Query'!$A$1:$F$1030, 3, 0)</f>
        <v>IGOR</v>
      </c>
      <c r="D509" s="3">
        <f>VLOOKUP($B509, '[1]HURDAT Query'!$A$1:$F$1030, 4, 0)</f>
        <v>4</v>
      </c>
      <c r="E509" s="3">
        <f>VLOOKUP($B509, '[1]HURDAT Query'!$A$1:$F$1030, 5, 0)</f>
        <v>135</v>
      </c>
      <c r="F509" s="3">
        <f>VLOOKUP($B509, '[1]HURDAT Query'!$A$1:$F$1030, 6, 0)</f>
        <v>924</v>
      </c>
      <c r="G509" s="3" t="str">
        <f>_xlfn.IFNA(VLOOKUP(B509, '[1]Landfall Stats'!A:G, 7, 0), "No LF")</f>
        <v>No LF</v>
      </c>
      <c r="H509" s="3" t="str">
        <f>_xlfn.IFNA(VLOOKUP(B509, '[1]Landfall Stats'!A:G, 5, 0), "No LF")</f>
        <v>No LF</v>
      </c>
      <c r="I509" s="3" t="str">
        <f>_xlfn.IFNA(VLOOKUP(B509, '[1]Landfall Stats'!A:G, 6, 0), "No LF")</f>
        <v>No LF</v>
      </c>
      <c r="J509" s="4" t="s">
        <v>852</v>
      </c>
      <c r="K509" s="3">
        <v>0</v>
      </c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2.75" customHeight="1" x14ac:dyDescent="0.2">
      <c r="A510" s="3">
        <v>2010</v>
      </c>
      <c r="B510" s="3" t="s">
        <v>853</v>
      </c>
      <c r="C510" s="3" t="str">
        <f>VLOOKUP($B510, '[1]HURDAT Query'!$A$1:$F$1030, 3, 0)</f>
        <v>JULIA</v>
      </c>
      <c r="D510" s="3">
        <f>VLOOKUP($B510, '[1]HURDAT Query'!$A$1:$F$1030, 4, 0)</f>
        <v>4</v>
      </c>
      <c r="E510" s="3">
        <f>VLOOKUP($B510, '[1]HURDAT Query'!$A$1:$F$1030, 5, 0)</f>
        <v>120</v>
      </c>
      <c r="F510" s="3">
        <f>VLOOKUP($B510, '[1]HURDAT Query'!$A$1:$F$1030, 6, 0)</f>
        <v>948</v>
      </c>
      <c r="G510" s="3" t="str">
        <f>_xlfn.IFNA(VLOOKUP(B510, '[1]Landfall Stats'!A:G, 7, 0), "No LF")</f>
        <v>No LF</v>
      </c>
      <c r="H510" s="3" t="str">
        <f>_xlfn.IFNA(VLOOKUP(B510, '[1]Landfall Stats'!A:G, 5, 0), "No LF")</f>
        <v>No LF</v>
      </c>
      <c r="I510" s="3" t="str">
        <f>_xlfn.IFNA(VLOOKUP(B510, '[1]Landfall Stats'!A:G, 6, 0), "No LF")</f>
        <v>No LF</v>
      </c>
      <c r="J510" s="4" t="s">
        <v>854</v>
      </c>
      <c r="K510" s="3">
        <v>0</v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2.75" customHeight="1" x14ac:dyDescent="0.2">
      <c r="A511" s="3">
        <v>2010</v>
      </c>
      <c r="B511" s="3" t="s">
        <v>855</v>
      </c>
      <c r="C511" s="3" t="str">
        <f>VLOOKUP($B511, '[1]HURDAT Query'!$A$1:$F$1030, 3, 0)</f>
        <v>KARL</v>
      </c>
      <c r="D511" s="3">
        <f>VLOOKUP($B511, '[1]HURDAT Query'!$A$1:$F$1030, 4, 0)</f>
        <v>3</v>
      </c>
      <c r="E511" s="3">
        <f>VLOOKUP($B511, '[1]HURDAT Query'!$A$1:$F$1030, 5, 0)</f>
        <v>110</v>
      </c>
      <c r="F511" s="3">
        <f>VLOOKUP($B511, '[1]HURDAT Query'!$A$1:$F$1030, 6, 0)</f>
        <v>956</v>
      </c>
      <c r="G511" s="3" t="str">
        <f>_xlfn.IFNA(VLOOKUP(B511, '[1]Landfall Stats'!A:G, 7, 0), "No LF")</f>
        <v>No LF</v>
      </c>
      <c r="H511" s="3" t="str">
        <f>_xlfn.IFNA(VLOOKUP(B511, '[1]Landfall Stats'!A:G, 5, 0), "No LF")</f>
        <v>No LF</v>
      </c>
      <c r="I511" s="3" t="str">
        <f>_xlfn.IFNA(VLOOKUP(B511, '[1]Landfall Stats'!A:G, 6, 0), "No LF")</f>
        <v>No LF</v>
      </c>
      <c r="J511" s="4" t="s">
        <v>856</v>
      </c>
      <c r="K511" s="3">
        <v>0</v>
      </c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2.75" customHeight="1" x14ac:dyDescent="0.2">
      <c r="A512" s="3">
        <v>2010</v>
      </c>
      <c r="B512" s="3" t="s">
        <v>857</v>
      </c>
      <c r="C512" s="3" t="str">
        <f>VLOOKUP($B512, '[1]HURDAT Query'!$A$1:$F$1030, 3, 0)</f>
        <v>LISA</v>
      </c>
      <c r="D512" s="3">
        <f>VLOOKUP($B512, '[1]HURDAT Query'!$A$1:$F$1030, 4, 0)</f>
        <v>1</v>
      </c>
      <c r="E512" s="3">
        <f>VLOOKUP($B512, '[1]HURDAT Query'!$A$1:$F$1030, 5, 0)</f>
        <v>75</v>
      </c>
      <c r="F512" s="3">
        <f>VLOOKUP($B512, '[1]HURDAT Query'!$A$1:$F$1030, 6, 0)</f>
        <v>982</v>
      </c>
      <c r="G512" s="3" t="str">
        <f>_xlfn.IFNA(VLOOKUP(B512, '[1]Landfall Stats'!A:G, 7, 0), "No LF")</f>
        <v>No LF</v>
      </c>
      <c r="H512" s="3" t="str">
        <f>_xlfn.IFNA(VLOOKUP(B512, '[1]Landfall Stats'!A:G, 5, 0), "No LF")</f>
        <v>No LF</v>
      </c>
      <c r="I512" s="3" t="str">
        <f>_xlfn.IFNA(VLOOKUP(B512, '[1]Landfall Stats'!A:G, 6, 0), "No LF")</f>
        <v>No LF</v>
      </c>
      <c r="J512" s="4" t="s">
        <v>858</v>
      </c>
      <c r="K512" s="3">
        <v>0</v>
      </c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2.75" customHeight="1" x14ac:dyDescent="0.2">
      <c r="A513" s="3">
        <v>2010</v>
      </c>
      <c r="B513" s="3" t="s">
        <v>859</v>
      </c>
      <c r="C513" s="3" t="str">
        <f>VLOOKUP($B513, '[1]HURDAT Query'!$A$1:$F$1030, 3, 0)</f>
        <v>MATTHEW</v>
      </c>
      <c r="D513" s="3" t="str">
        <f>VLOOKUP($B513, '[1]HURDAT Query'!$A$1:$F$1030, 4, 0)</f>
        <v>NA</v>
      </c>
      <c r="E513" s="3" t="str">
        <f>VLOOKUP($B513, '[1]HURDAT Query'!$A$1:$F$1030, 5, 0)</f>
        <v>NA</v>
      </c>
      <c r="F513" s="3" t="str">
        <f>VLOOKUP($B513, '[1]HURDAT Query'!$A$1:$F$1030, 6, 0)</f>
        <v>NA</v>
      </c>
      <c r="G513" s="3" t="str">
        <f>_xlfn.IFNA(VLOOKUP(B513, '[1]Landfall Stats'!A:G, 7, 0), "No LF")</f>
        <v>No LF</v>
      </c>
      <c r="H513" s="3" t="str">
        <f>_xlfn.IFNA(VLOOKUP(B513, '[1]Landfall Stats'!A:G, 5, 0), "No LF")</f>
        <v>No LF</v>
      </c>
      <c r="I513" s="3" t="str">
        <f>_xlfn.IFNA(VLOOKUP(B513, '[1]Landfall Stats'!A:G, 6, 0), "No LF")</f>
        <v>No LF</v>
      </c>
      <c r="J513" s="4" t="s">
        <v>860</v>
      </c>
      <c r="K513" s="3">
        <v>0</v>
      </c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2.75" customHeight="1" x14ac:dyDescent="0.2">
      <c r="A514" s="3">
        <v>2010</v>
      </c>
      <c r="B514" s="3" t="s">
        <v>861</v>
      </c>
      <c r="C514" s="3" t="str">
        <f>VLOOKUP($B514, '[1]HURDAT Query'!$A$1:$F$1030, 3, 0)</f>
        <v>NICOLE</v>
      </c>
      <c r="D514" s="3" t="str">
        <f>VLOOKUP($B514, '[1]HURDAT Query'!$A$1:$F$1030, 4, 0)</f>
        <v>NA</v>
      </c>
      <c r="E514" s="3" t="str">
        <f>VLOOKUP($B514, '[1]HURDAT Query'!$A$1:$F$1030, 5, 0)</f>
        <v>NA</v>
      </c>
      <c r="F514" s="3" t="str">
        <f>VLOOKUP($B514, '[1]HURDAT Query'!$A$1:$F$1030, 6, 0)</f>
        <v>NA</v>
      </c>
      <c r="G514" s="3" t="str">
        <f>_xlfn.IFNA(VLOOKUP(B514, '[1]Landfall Stats'!A:G, 7, 0), "No LF")</f>
        <v>No LF</v>
      </c>
      <c r="H514" s="3" t="str">
        <f>_xlfn.IFNA(VLOOKUP(B514, '[1]Landfall Stats'!A:G, 5, 0), "No LF")</f>
        <v>No LF</v>
      </c>
      <c r="I514" s="3" t="str">
        <f>_xlfn.IFNA(VLOOKUP(B514, '[1]Landfall Stats'!A:G, 6, 0), "No LF")</f>
        <v>No LF</v>
      </c>
      <c r="J514" s="4" t="s">
        <v>862</v>
      </c>
      <c r="K514" s="3">
        <v>0</v>
      </c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2.75" customHeight="1" x14ac:dyDescent="0.2">
      <c r="A515" s="3">
        <v>2010</v>
      </c>
      <c r="B515" s="3" t="s">
        <v>863</v>
      </c>
      <c r="C515" s="3" t="str">
        <f>VLOOKUP($B515, '[1]HURDAT Query'!$A$1:$F$1030, 3, 0)</f>
        <v>OTTO</v>
      </c>
      <c r="D515" s="3">
        <f>VLOOKUP($B515, '[1]HURDAT Query'!$A$1:$F$1030, 4, 0)</f>
        <v>1</v>
      </c>
      <c r="E515" s="3">
        <f>VLOOKUP($B515, '[1]HURDAT Query'!$A$1:$F$1030, 5, 0)</f>
        <v>75</v>
      </c>
      <c r="F515" s="3">
        <f>VLOOKUP($B515, '[1]HURDAT Query'!$A$1:$F$1030, 6, 0)</f>
        <v>976</v>
      </c>
      <c r="G515" s="3" t="str">
        <f>_xlfn.IFNA(VLOOKUP(B515, '[1]Landfall Stats'!A:G, 7, 0), "No LF")</f>
        <v>No LF</v>
      </c>
      <c r="H515" s="3" t="str">
        <f>_xlfn.IFNA(VLOOKUP(B515, '[1]Landfall Stats'!A:G, 5, 0), "No LF")</f>
        <v>No LF</v>
      </c>
      <c r="I515" s="3" t="str">
        <f>_xlfn.IFNA(VLOOKUP(B515, '[1]Landfall Stats'!A:G, 6, 0), "No LF")</f>
        <v>No LF</v>
      </c>
      <c r="J515" s="4" t="s">
        <v>864</v>
      </c>
      <c r="K515" s="3">
        <v>0</v>
      </c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2.75" customHeight="1" x14ac:dyDescent="0.2">
      <c r="A516" s="3">
        <v>2010</v>
      </c>
      <c r="B516" s="3" t="s">
        <v>865</v>
      </c>
      <c r="C516" s="3" t="str">
        <f>VLOOKUP($B516, '[1]HURDAT Query'!$A$1:$F$1030, 3, 0)</f>
        <v>PAULA</v>
      </c>
      <c r="D516" s="3">
        <f>VLOOKUP($B516, '[1]HURDAT Query'!$A$1:$F$1030, 4, 0)</f>
        <v>2</v>
      </c>
      <c r="E516" s="3">
        <f>VLOOKUP($B516, '[1]HURDAT Query'!$A$1:$F$1030, 5, 0)</f>
        <v>90</v>
      </c>
      <c r="F516" s="3">
        <f>VLOOKUP($B516, '[1]HURDAT Query'!$A$1:$F$1030, 6, 0)</f>
        <v>981</v>
      </c>
      <c r="G516" s="3" t="str">
        <f>_xlfn.IFNA(VLOOKUP(B516, '[1]Landfall Stats'!A:G, 7, 0), "No LF")</f>
        <v>No LF</v>
      </c>
      <c r="H516" s="3" t="str">
        <f>_xlfn.IFNA(VLOOKUP(B516, '[1]Landfall Stats'!A:G, 5, 0), "No LF")</f>
        <v>No LF</v>
      </c>
      <c r="I516" s="3" t="str">
        <f>_xlfn.IFNA(VLOOKUP(B516, '[1]Landfall Stats'!A:G, 6, 0), "No LF")</f>
        <v>No LF</v>
      </c>
      <c r="J516" s="4" t="s">
        <v>866</v>
      </c>
      <c r="K516" s="3">
        <v>0</v>
      </c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2.75" customHeight="1" x14ac:dyDescent="0.2">
      <c r="A517" s="3">
        <v>2010</v>
      </c>
      <c r="B517" s="3" t="s">
        <v>867</v>
      </c>
      <c r="C517" s="3" t="str">
        <f>VLOOKUP($B517, '[1]HURDAT Query'!$A$1:$F$1030, 3, 0)</f>
        <v>RICHARD</v>
      </c>
      <c r="D517" s="3">
        <f>VLOOKUP($B517, '[1]HURDAT Query'!$A$1:$F$1030, 4, 0)</f>
        <v>2</v>
      </c>
      <c r="E517" s="3">
        <f>VLOOKUP($B517, '[1]HURDAT Query'!$A$1:$F$1030, 5, 0)</f>
        <v>85</v>
      </c>
      <c r="F517" s="3">
        <f>VLOOKUP($B517, '[1]HURDAT Query'!$A$1:$F$1030, 6, 0)</f>
        <v>977</v>
      </c>
      <c r="G517" s="3" t="str">
        <f>_xlfn.IFNA(VLOOKUP(B517, '[1]Landfall Stats'!A:G, 7, 0), "No LF")</f>
        <v>No LF</v>
      </c>
      <c r="H517" s="3" t="str">
        <f>_xlfn.IFNA(VLOOKUP(B517, '[1]Landfall Stats'!A:G, 5, 0), "No LF")</f>
        <v>No LF</v>
      </c>
      <c r="I517" s="3" t="str">
        <f>_xlfn.IFNA(VLOOKUP(B517, '[1]Landfall Stats'!A:G, 6, 0), "No LF")</f>
        <v>No LF</v>
      </c>
      <c r="J517" s="4" t="s">
        <v>868</v>
      </c>
      <c r="K517" s="3">
        <v>0</v>
      </c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12.75" customHeight="1" x14ac:dyDescent="0.2">
      <c r="A518" s="3">
        <v>2010</v>
      </c>
      <c r="B518" s="3" t="s">
        <v>869</v>
      </c>
      <c r="C518" s="3" t="str">
        <f>VLOOKUP($B518, '[1]HURDAT Query'!$A$1:$F$1030, 3, 0)</f>
        <v>SHARY</v>
      </c>
      <c r="D518" s="3">
        <f>VLOOKUP($B518, '[1]HURDAT Query'!$A$1:$F$1030, 4, 0)</f>
        <v>1</v>
      </c>
      <c r="E518" s="3">
        <f>VLOOKUP($B518, '[1]HURDAT Query'!$A$1:$F$1030, 5, 0)</f>
        <v>65</v>
      </c>
      <c r="F518" s="3">
        <f>VLOOKUP($B518, '[1]HURDAT Query'!$A$1:$F$1030, 6, 0)</f>
        <v>989</v>
      </c>
      <c r="G518" s="3" t="str">
        <f>_xlfn.IFNA(VLOOKUP(B518, '[1]Landfall Stats'!A:G, 7, 0), "No LF")</f>
        <v>No LF</v>
      </c>
      <c r="H518" s="3" t="str">
        <f>_xlfn.IFNA(VLOOKUP(B518, '[1]Landfall Stats'!A:G, 5, 0), "No LF")</f>
        <v>No LF</v>
      </c>
      <c r="I518" s="3" t="str">
        <f>_xlfn.IFNA(VLOOKUP(B518, '[1]Landfall Stats'!A:G, 6, 0), "No LF")</f>
        <v>No LF</v>
      </c>
      <c r="J518" s="4" t="s">
        <v>870</v>
      </c>
      <c r="K518" s="3">
        <v>0</v>
      </c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2.75" customHeight="1" x14ac:dyDescent="0.2">
      <c r="A519" s="3">
        <v>2010</v>
      </c>
      <c r="B519" s="3" t="s">
        <v>871</v>
      </c>
      <c r="C519" s="3" t="str">
        <f>VLOOKUP($B519, '[1]HURDAT Query'!$A$1:$F$1030, 3, 0)</f>
        <v>TOMAS</v>
      </c>
      <c r="D519" s="3">
        <f>VLOOKUP($B519, '[1]HURDAT Query'!$A$1:$F$1030, 4, 0)</f>
        <v>2</v>
      </c>
      <c r="E519" s="3">
        <f>VLOOKUP($B519, '[1]HURDAT Query'!$A$1:$F$1030, 5, 0)</f>
        <v>85</v>
      </c>
      <c r="F519" s="3">
        <f>VLOOKUP($B519, '[1]HURDAT Query'!$A$1:$F$1030, 6, 0)</f>
        <v>982</v>
      </c>
      <c r="G519" s="3" t="str">
        <f>_xlfn.IFNA(VLOOKUP(B519, '[1]Landfall Stats'!A:G, 7, 0), "No LF")</f>
        <v>No LF</v>
      </c>
      <c r="H519" s="3" t="str">
        <f>_xlfn.IFNA(VLOOKUP(B519, '[1]Landfall Stats'!A:G, 5, 0), "No LF")</f>
        <v>No LF</v>
      </c>
      <c r="I519" s="3" t="str">
        <f>_xlfn.IFNA(VLOOKUP(B519, '[1]Landfall Stats'!A:G, 6, 0), "No LF")</f>
        <v>No LF</v>
      </c>
      <c r="J519" s="4" t="s">
        <v>872</v>
      </c>
      <c r="K519" s="3">
        <v>0</v>
      </c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2.75" customHeight="1" x14ac:dyDescent="0.2">
      <c r="A520" s="3">
        <v>2011</v>
      </c>
      <c r="B520" s="3" t="s">
        <v>873</v>
      </c>
      <c r="C520" s="3" t="str">
        <f>VLOOKUP($B520, '[1]HURDAT Query'!$A$1:$F$1030, 3, 0)</f>
        <v>ARLENE</v>
      </c>
      <c r="D520" s="3" t="str">
        <f>VLOOKUP($B520, '[1]HURDAT Query'!$A$1:$F$1030, 4, 0)</f>
        <v>NA</v>
      </c>
      <c r="E520" s="3" t="str">
        <f>VLOOKUP($B520, '[1]HURDAT Query'!$A$1:$F$1030, 5, 0)</f>
        <v>NA</v>
      </c>
      <c r="F520" s="3" t="str">
        <f>VLOOKUP($B520, '[1]HURDAT Query'!$A$1:$F$1030, 6, 0)</f>
        <v>NA</v>
      </c>
      <c r="G520" s="3" t="str">
        <f>_xlfn.IFNA(VLOOKUP(B520, '[1]Landfall Stats'!A:G, 7, 0), "No LF")</f>
        <v>No LF</v>
      </c>
      <c r="H520" s="3" t="str">
        <f>_xlfn.IFNA(VLOOKUP(B520, '[1]Landfall Stats'!A:G, 5, 0), "No LF")</f>
        <v>No LF</v>
      </c>
      <c r="I520" s="3" t="str">
        <f>_xlfn.IFNA(VLOOKUP(B520, '[1]Landfall Stats'!A:G, 6, 0), "No LF")</f>
        <v>No LF</v>
      </c>
      <c r="J520" s="4" t="s">
        <v>874</v>
      </c>
      <c r="K520" s="3">
        <v>0</v>
      </c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2.75" customHeight="1" x14ac:dyDescent="0.2">
      <c r="A521" s="3">
        <v>2011</v>
      </c>
      <c r="B521" s="3" t="s">
        <v>875</v>
      </c>
      <c r="C521" s="3" t="str">
        <f>VLOOKUP($B521, '[1]HURDAT Query'!$A$1:$F$1030, 3, 0)</f>
        <v>BRET</v>
      </c>
      <c r="D521" s="3" t="str">
        <f>VLOOKUP($B521, '[1]HURDAT Query'!$A$1:$F$1030, 4, 0)</f>
        <v>NA</v>
      </c>
      <c r="E521" s="3" t="str">
        <f>VLOOKUP($B521, '[1]HURDAT Query'!$A$1:$F$1030, 5, 0)</f>
        <v>NA</v>
      </c>
      <c r="F521" s="3" t="str">
        <f>VLOOKUP($B521, '[1]HURDAT Query'!$A$1:$F$1030, 6, 0)</f>
        <v>NA</v>
      </c>
      <c r="G521" s="3" t="str">
        <f>_xlfn.IFNA(VLOOKUP(B521, '[1]Landfall Stats'!A:G, 7, 0), "No LF")</f>
        <v>No LF</v>
      </c>
      <c r="H521" s="3" t="str">
        <f>_xlfn.IFNA(VLOOKUP(B521, '[1]Landfall Stats'!A:G, 5, 0), "No LF")</f>
        <v>No LF</v>
      </c>
      <c r="I521" s="3" t="str">
        <f>_xlfn.IFNA(VLOOKUP(B521, '[1]Landfall Stats'!A:G, 6, 0), "No LF")</f>
        <v>No LF</v>
      </c>
      <c r="J521" s="4" t="s">
        <v>876</v>
      </c>
      <c r="K521" s="3">
        <v>0</v>
      </c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2.75" customHeight="1" x14ac:dyDescent="0.2">
      <c r="A522" s="3">
        <v>2011</v>
      </c>
      <c r="B522" s="3" t="s">
        <v>877</v>
      </c>
      <c r="C522" s="3" t="str">
        <f>VLOOKUP($B522, '[1]HURDAT Query'!$A$1:$F$1030, 3, 0)</f>
        <v>CINDY</v>
      </c>
      <c r="D522" s="3" t="str">
        <f>VLOOKUP($B522, '[1]HURDAT Query'!$A$1:$F$1030, 4, 0)</f>
        <v>NA</v>
      </c>
      <c r="E522" s="3" t="str">
        <f>VLOOKUP($B522, '[1]HURDAT Query'!$A$1:$F$1030, 5, 0)</f>
        <v>NA</v>
      </c>
      <c r="F522" s="3" t="str">
        <f>VLOOKUP($B522, '[1]HURDAT Query'!$A$1:$F$1030, 6, 0)</f>
        <v>NA</v>
      </c>
      <c r="G522" s="3" t="str">
        <f>_xlfn.IFNA(VLOOKUP(B522, '[1]Landfall Stats'!A:G, 7, 0), "No LF")</f>
        <v>No LF</v>
      </c>
      <c r="H522" s="3" t="str">
        <f>_xlfn.IFNA(VLOOKUP(B522, '[1]Landfall Stats'!A:G, 5, 0), "No LF")</f>
        <v>No LF</v>
      </c>
      <c r="I522" s="3" t="str">
        <f>_xlfn.IFNA(VLOOKUP(B522, '[1]Landfall Stats'!A:G, 6, 0), "No LF")</f>
        <v>No LF</v>
      </c>
      <c r="J522" s="4" t="s">
        <v>878</v>
      </c>
      <c r="K522" s="3">
        <v>0</v>
      </c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2.75" customHeight="1" x14ac:dyDescent="0.2">
      <c r="A523" s="3">
        <v>2011</v>
      </c>
      <c r="B523" s="3" t="s">
        <v>879</v>
      </c>
      <c r="C523" s="3" t="str">
        <f>VLOOKUP($B523, '[1]HURDAT Query'!$A$1:$F$1030, 3, 0)</f>
        <v>DON</v>
      </c>
      <c r="D523" s="3" t="str">
        <f>VLOOKUP($B523, '[1]HURDAT Query'!$A$1:$F$1030, 4, 0)</f>
        <v>NA</v>
      </c>
      <c r="E523" s="3" t="str">
        <f>VLOOKUP($B523, '[1]HURDAT Query'!$A$1:$F$1030, 5, 0)</f>
        <v>NA</v>
      </c>
      <c r="F523" s="3" t="str">
        <f>VLOOKUP($B523, '[1]HURDAT Query'!$A$1:$F$1030, 6, 0)</f>
        <v>NA</v>
      </c>
      <c r="G523" s="3" t="str">
        <f>_xlfn.IFNA(VLOOKUP(B523, '[1]Landfall Stats'!A:G, 7, 0), "No LF")</f>
        <v>No LF</v>
      </c>
      <c r="H523" s="3" t="str">
        <f>_xlfn.IFNA(VLOOKUP(B523, '[1]Landfall Stats'!A:G, 5, 0), "No LF")</f>
        <v>No LF</v>
      </c>
      <c r="I523" s="3" t="str">
        <f>_xlfn.IFNA(VLOOKUP(B523, '[1]Landfall Stats'!A:G, 6, 0), "No LF")</f>
        <v>No LF</v>
      </c>
      <c r="J523" s="4" t="s">
        <v>880</v>
      </c>
      <c r="K523" s="3">
        <v>0</v>
      </c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2.75" customHeight="1" x14ac:dyDescent="0.2">
      <c r="A524" s="3">
        <v>2011</v>
      </c>
      <c r="B524" s="3" t="s">
        <v>881</v>
      </c>
      <c r="C524" s="3" t="str">
        <f>VLOOKUP($B524, '[1]HURDAT Query'!$A$1:$F$1030, 3, 0)</f>
        <v>EMILY</v>
      </c>
      <c r="D524" s="3" t="str">
        <f>VLOOKUP($B524, '[1]HURDAT Query'!$A$1:$F$1030, 4, 0)</f>
        <v>NA</v>
      </c>
      <c r="E524" s="3" t="str">
        <f>VLOOKUP($B524, '[1]HURDAT Query'!$A$1:$F$1030, 5, 0)</f>
        <v>NA</v>
      </c>
      <c r="F524" s="3" t="str">
        <f>VLOOKUP($B524, '[1]HURDAT Query'!$A$1:$F$1030, 6, 0)</f>
        <v>NA</v>
      </c>
      <c r="G524" s="3" t="str">
        <f>_xlfn.IFNA(VLOOKUP(B524, '[1]Landfall Stats'!A:G, 7, 0), "No LF")</f>
        <v>No LF</v>
      </c>
      <c r="H524" s="3" t="str">
        <f>_xlfn.IFNA(VLOOKUP(B524, '[1]Landfall Stats'!A:G, 5, 0), "No LF")</f>
        <v>No LF</v>
      </c>
      <c r="I524" s="3" t="str">
        <f>_xlfn.IFNA(VLOOKUP(B524, '[1]Landfall Stats'!A:G, 6, 0), "No LF")</f>
        <v>No LF</v>
      </c>
      <c r="J524" s="4" t="s">
        <v>882</v>
      </c>
      <c r="K524" s="3">
        <v>0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2.75" customHeight="1" x14ac:dyDescent="0.2">
      <c r="A525" s="3">
        <v>2011</v>
      </c>
      <c r="B525" s="3" t="s">
        <v>883</v>
      </c>
      <c r="C525" s="3" t="str">
        <f>VLOOKUP($B525, '[1]HURDAT Query'!$A$1:$F$1030, 3, 0)</f>
        <v>FRANKLIN</v>
      </c>
      <c r="D525" s="3" t="str">
        <f>VLOOKUP($B525, '[1]HURDAT Query'!$A$1:$F$1030, 4, 0)</f>
        <v>NA</v>
      </c>
      <c r="E525" s="3" t="str">
        <f>VLOOKUP($B525, '[1]HURDAT Query'!$A$1:$F$1030, 5, 0)</f>
        <v>NA</v>
      </c>
      <c r="F525" s="3" t="str">
        <f>VLOOKUP($B525, '[1]HURDAT Query'!$A$1:$F$1030, 6, 0)</f>
        <v>NA</v>
      </c>
      <c r="G525" s="3" t="str">
        <f>_xlfn.IFNA(VLOOKUP(B525, '[1]Landfall Stats'!A:G, 7, 0), "No LF")</f>
        <v>No LF</v>
      </c>
      <c r="H525" s="3" t="str">
        <f>_xlfn.IFNA(VLOOKUP(B525, '[1]Landfall Stats'!A:G, 5, 0), "No LF")</f>
        <v>No LF</v>
      </c>
      <c r="I525" s="3" t="str">
        <f>_xlfn.IFNA(VLOOKUP(B525, '[1]Landfall Stats'!A:G, 6, 0), "No LF")</f>
        <v>No LF</v>
      </c>
      <c r="J525" s="4" t="s">
        <v>884</v>
      </c>
      <c r="K525" s="3">
        <v>0</v>
      </c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2.75" customHeight="1" x14ac:dyDescent="0.2">
      <c r="A526" s="3">
        <v>2011</v>
      </c>
      <c r="B526" s="3" t="s">
        <v>885</v>
      </c>
      <c r="C526" s="3" t="str">
        <f>VLOOKUP($B526, '[1]HURDAT Query'!$A$1:$F$1030, 3, 0)</f>
        <v>GERT</v>
      </c>
      <c r="D526" s="3" t="str">
        <f>VLOOKUP($B526, '[1]HURDAT Query'!$A$1:$F$1030, 4, 0)</f>
        <v>NA</v>
      </c>
      <c r="E526" s="3" t="str">
        <f>VLOOKUP($B526, '[1]HURDAT Query'!$A$1:$F$1030, 5, 0)</f>
        <v>NA</v>
      </c>
      <c r="F526" s="3" t="str">
        <f>VLOOKUP($B526, '[1]HURDAT Query'!$A$1:$F$1030, 6, 0)</f>
        <v>NA</v>
      </c>
      <c r="G526" s="3" t="str">
        <f>_xlfn.IFNA(VLOOKUP(B526, '[1]Landfall Stats'!A:G, 7, 0), "No LF")</f>
        <v>No LF</v>
      </c>
      <c r="H526" s="3" t="str">
        <f>_xlfn.IFNA(VLOOKUP(B526, '[1]Landfall Stats'!A:G, 5, 0), "No LF")</f>
        <v>No LF</v>
      </c>
      <c r="I526" s="3" t="str">
        <f>_xlfn.IFNA(VLOOKUP(B526, '[1]Landfall Stats'!A:G, 6, 0), "No LF")</f>
        <v>No LF</v>
      </c>
      <c r="J526" s="4" t="s">
        <v>886</v>
      </c>
      <c r="K526" s="3">
        <v>0</v>
      </c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2.75" customHeight="1" x14ac:dyDescent="0.2">
      <c r="A527" s="3">
        <v>2011</v>
      </c>
      <c r="B527" s="3" t="s">
        <v>887</v>
      </c>
      <c r="C527" s="3" t="str">
        <f>VLOOKUP($B527, '[1]HURDAT Query'!$A$1:$F$1030, 3, 0)</f>
        <v>HARVEY</v>
      </c>
      <c r="D527" s="3" t="str">
        <f>VLOOKUP($B527, '[1]HURDAT Query'!$A$1:$F$1030, 4, 0)</f>
        <v>NA</v>
      </c>
      <c r="E527" s="3" t="str">
        <f>VLOOKUP($B527, '[1]HURDAT Query'!$A$1:$F$1030, 5, 0)</f>
        <v>NA</v>
      </c>
      <c r="F527" s="3" t="str">
        <f>VLOOKUP($B527, '[1]HURDAT Query'!$A$1:$F$1030, 6, 0)</f>
        <v>NA</v>
      </c>
      <c r="G527" s="3" t="str">
        <f>_xlfn.IFNA(VLOOKUP(B527, '[1]Landfall Stats'!A:G, 7, 0), "No LF")</f>
        <v>No LF</v>
      </c>
      <c r="H527" s="3" t="str">
        <f>_xlfn.IFNA(VLOOKUP(B527, '[1]Landfall Stats'!A:G, 5, 0), "No LF")</f>
        <v>No LF</v>
      </c>
      <c r="I527" s="3" t="str">
        <f>_xlfn.IFNA(VLOOKUP(B527, '[1]Landfall Stats'!A:G, 6, 0), "No LF")</f>
        <v>No LF</v>
      </c>
      <c r="J527" s="4" t="s">
        <v>888</v>
      </c>
      <c r="K527" s="3">
        <v>0</v>
      </c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2.75" customHeight="1" x14ac:dyDescent="0.2">
      <c r="A528" s="3">
        <v>2011</v>
      </c>
      <c r="B528" s="3" t="s">
        <v>889</v>
      </c>
      <c r="C528" s="3" t="str">
        <f>VLOOKUP($B528, '[1]HURDAT Query'!$A$1:$F$1030, 3, 0)</f>
        <v>IRENE</v>
      </c>
      <c r="D528" s="3">
        <f>VLOOKUP($B528, '[1]HURDAT Query'!$A$1:$F$1030, 4, 0)</f>
        <v>3</v>
      </c>
      <c r="E528" s="3">
        <f>VLOOKUP($B528, '[1]HURDAT Query'!$A$1:$F$1030, 5, 0)</f>
        <v>105</v>
      </c>
      <c r="F528" s="3">
        <f>VLOOKUP($B528, '[1]HURDAT Query'!$A$1:$F$1030, 6, 0)</f>
        <v>942</v>
      </c>
      <c r="G528" s="3">
        <f>_xlfn.IFNA(VLOOKUP(B528, '[1]Landfall Stats'!A:G, 7, 0), "No LF")</f>
        <v>1</v>
      </c>
      <c r="H528" s="3">
        <f>_xlfn.IFNA(VLOOKUP(B528, '[1]Landfall Stats'!A:G, 5, 0), "No LF")</f>
        <v>75</v>
      </c>
      <c r="I528" s="3">
        <f>_xlfn.IFNA(VLOOKUP(B528, '[1]Landfall Stats'!A:G, 6, 0), "No LF")</f>
        <v>952</v>
      </c>
      <c r="J528" s="4" t="s">
        <v>890</v>
      </c>
      <c r="K528" s="3">
        <v>39</v>
      </c>
      <c r="L528" s="3">
        <v>6</v>
      </c>
      <c r="M528" s="3" t="s">
        <v>891</v>
      </c>
      <c r="N528" s="3"/>
      <c r="O528" s="3"/>
      <c r="P528" s="3"/>
      <c r="Q528" s="3"/>
      <c r="R528" s="3"/>
      <c r="S528" s="3"/>
      <c r="T528" s="3">
        <v>20</v>
      </c>
      <c r="U528" s="3" t="s">
        <v>892</v>
      </c>
      <c r="V528" s="3">
        <v>13</v>
      </c>
      <c r="W528" s="3" t="s">
        <v>893</v>
      </c>
      <c r="X528" s="3"/>
      <c r="Y528" s="3"/>
      <c r="Z528" s="3"/>
      <c r="AA528" s="3"/>
      <c r="AB528" s="3"/>
      <c r="AC528" s="3"/>
      <c r="AD528" s="3"/>
      <c r="AE528" s="3"/>
    </row>
    <row r="529" spans="1:31" ht="12.75" customHeight="1" x14ac:dyDescent="0.2">
      <c r="A529" s="3">
        <v>2011</v>
      </c>
      <c r="B529" s="3" t="s">
        <v>894</v>
      </c>
      <c r="C529" s="3" t="str">
        <f>VLOOKUP($B529, '[1]HURDAT Query'!$A$1:$F$1030, 3, 0)</f>
        <v>TEN</v>
      </c>
      <c r="D529" s="3" t="str">
        <f>VLOOKUP($B529, '[1]HURDAT Query'!$A$1:$F$1030, 4, 0)</f>
        <v>NA</v>
      </c>
      <c r="E529" s="3" t="str">
        <f>VLOOKUP($B529, '[1]HURDAT Query'!$A$1:$F$1030, 5, 0)</f>
        <v>NA</v>
      </c>
      <c r="F529" s="3" t="str">
        <f>VLOOKUP($B529, '[1]HURDAT Query'!$A$1:$F$1030, 6, 0)</f>
        <v>NA</v>
      </c>
      <c r="G529" s="3" t="str">
        <f>_xlfn.IFNA(VLOOKUP(B529, '[1]Landfall Stats'!A:G, 7, 0), "No LF")</f>
        <v>No LF</v>
      </c>
      <c r="H529" s="3" t="str">
        <f>_xlfn.IFNA(VLOOKUP(B529, '[1]Landfall Stats'!A:G, 5, 0), "No LF")</f>
        <v>No LF</v>
      </c>
      <c r="I529" s="3" t="str">
        <f>_xlfn.IFNA(VLOOKUP(B529, '[1]Landfall Stats'!A:G, 6, 0), "No LF")</f>
        <v>No LF</v>
      </c>
      <c r="J529" s="4" t="s">
        <v>895</v>
      </c>
      <c r="K529" s="3">
        <v>0</v>
      </c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2.75" customHeight="1" x14ac:dyDescent="0.2">
      <c r="A530" s="3">
        <v>2011</v>
      </c>
      <c r="B530" s="3" t="s">
        <v>896</v>
      </c>
      <c r="C530" s="3" t="str">
        <f>VLOOKUP($B530, '[1]HURDAT Query'!$A$1:$F$1030, 3, 0)</f>
        <v>JOSE</v>
      </c>
      <c r="D530" s="3" t="str">
        <f>VLOOKUP($B530, '[1]HURDAT Query'!$A$1:$F$1030, 4, 0)</f>
        <v>NA</v>
      </c>
      <c r="E530" s="3" t="str">
        <f>VLOOKUP($B530, '[1]HURDAT Query'!$A$1:$F$1030, 5, 0)</f>
        <v>NA</v>
      </c>
      <c r="F530" s="3" t="str">
        <f>VLOOKUP($B530, '[1]HURDAT Query'!$A$1:$F$1030, 6, 0)</f>
        <v>NA</v>
      </c>
      <c r="G530" s="3" t="str">
        <f>_xlfn.IFNA(VLOOKUP(B530, '[1]Landfall Stats'!A:G, 7, 0), "No LF")</f>
        <v>No LF</v>
      </c>
      <c r="H530" s="3" t="str">
        <f>_xlfn.IFNA(VLOOKUP(B530, '[1]Landfall Stats'!A:G, 5, 0), "No LF")</f>
        <v>No LF</v>
      </c>
      <c r="I530" s="3" t="str">
        <f>_xlfn.IFNA(VLOOKUP(B530, '[1]Landfall Stats'!A:G, 6, 0), "No LF")</f>
        <v>No LF</v>
      </c>
      <c r="J530" s="4" t="s">
        <v>897</v>
      </c>
      <c r="K530" s="3">
        <v>0</v>
      </c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2.75" customHeight="1" x14ac:dyDescent="0.2">
      <c r="A531" s="3">
        <v>2011</v>
      </c>
      <c r="B531" s="3" t="s">
        <v>898</v>
      </c>
      <c r="C531" s="3" t="str">
        <f>VLOOKUP($B531, '[1]HURDAT Query'!$A$1:$F$1030, 3, 0)</f>
        <v>KATIA</v>
      </c>
      <c r="D531" s="3">
        <f>VLOOKUP($B531, '[1]HURDAT Query'!$A$1:$F$1030, 4, 0)</f>
        <v>4</v>
      </c>
      <c r="E531" s="3">
        <f>VLOOKUP($B531, '[1]HURDAT Query'!$A$1:$F$1030, 5, 0)</f>
        <v>120</v>
      </c>
      <c r="F531" s="3">
        <f>VLOOKUP($B531, '[1]HURDAT Query'!$A$1:$F$1030, 6, 0)</f>
        <v>942</v>
      </c>
      <c r="G531" s="3" t="str">
        <f>_xlfn.IFNA(VLOOKUP(B531, '[1]Landfall Stats'!A:G, 7, 0), "No LF")</f>
        <v>No LF</v>
      </c>
      <c r="H531" s="3" t="str">
        <f>_xlfn.IFNA(VLOOKUP(B531, '[1]Landfall Stats'!A:G, 5, 0), "No LF")</f>
        <v>No LF</v>
      </c>
      <c r="I531" s="3" t="str">
        <f>_xlfn.IFNA(VLOOKUP(B531, '[1]Landfall Stats'!A:G, 6, 0), "No LF")</f>
        <v>No LF</v>
      </c>
      <c r="J531" s="4" t="s">
        <v>899</v>
      </c>
      <c r="K531" s="3">
        <v>0</v>
      </c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2.75" customHeight="1" x14ac:dyDescent="0.2">
      <c r="A532" s="3">
        <v>2011</v>
      </c>
      <c r="B532" s="3" t="s">
        <v>900</v>
      </c>
      <c r="C532" s="3" t="str">
        <f>VLOOKUP($B532, '[1]HURDAT Query'!$A$1:$F$1030, 3, 0)</f>
        <v>LEE</v>
      </c>
      <c r="D532" s="3" t="str">
        <f>VLOOKUP($B532, '[1]HURDAT Query'!$A$1:$F$1030, 4, 0)</f>
        <v>NA</v>
      </c>
      <c r="E532" s="3" t="str">
        <f>VLOOKUP($B532, '[1]HURDAT Query'!$A$1:$F$1030, 5, 0)</f>
        <v>NA</v>
      </c>
      <c r="F532" s="3" t="str">
        <f>VLOOKUP($B532, '[1]HURDAT Query'!$A$1:$F$1030, 6, 0)</f>
        <v>NA</v>
      </c>
      <c r="G532" s="3" t="str">
        <f>_xlfn.IFNA(VLOOKUP(B532, '[1]Landfall Stats'!A:G, 7, 0), "No LF")</f>
        <v>NA</v>
      </c>
      <c r="H532" s="3">
        <f>_xlfn.IFNA(VLOOKUP(B532, '[1]Landfall Stats'!A:G, 5, 0), "No LF")</f>
        <v>40</v>
      </c>
      <c r="I532" s="3">
        <f>_xlfn.IFNA(VLOOKUP(B532, '[1]Landfall Stats'!A:G, 6, 0), "No LF")</f>
        <v>986</v>
      </c>
      <c r="J532" s="4" t="s">
        <v>901</v>
      </c>
      <c r="K532" s="3">
        <v>3</v>
      </c>
      <c r="L532" s="3"/>
      <c r="M532" s="3"/>
      <c r="N532" s="3">
        <v>2</v>
      </c>
      <c r="O532" s="3" t="s">
        <v>902</v>
      </c>
      <c r="P532" s="3"/>
      <c r="Q532" s="3"/>
      <c r="R532" s="3"/>
      <c r="S532" s="3"/>
      <c r="T532" s="3">
        <v>1</v>
      </c>
      <c r="U532" s="3" t="s">
        <v>103</v>
      </c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2.75" customHeight="1" x14ac:dyDescent="0.2">
      <c r="A533" s="3">
        <v>2011</v>
      </c>
      <c r="B533" s="3" t="s">
        <v>903</v>
      </c>
      <c r="C533" s="3" t="str">
        <f>VLOOKUP($B533, '[1]HURDAT Query'!$A$1:$F$1030, 3, 0)</f>
        <v>MARIA</v>
      </c>
      <c r="D533" s="3">
        <f>VLOOKUP($B533, '[1]HURDAT Query'!$A$1:$F$1030, 4, 0)</f>
        <v>1</v>
      </c>
      <c r="E533" s="3">
        <f>VLOOKUP($B533, '[1]HURDAT Query'!$A$1:$F$1030, 5, 0)</f>
        <v>70</v>
      </c>
      <c r="F533" s="3">
        <f>VLOOKUP($B533, '[1]HURDAT Query'!$A$1:$F$1030, 6, 0)</f>
        <v>983</v>
      </c>
      <c r="G533" s="3" t="str">
        <f>_xlfn.IFNA(VLOOKUP(B533, '[1]Landfall Stats'!A:G, 7, 0), "No LF")</f>
        <v>No LF</v>
      </c>
      <c r="H533" s="3" t="str">
        <f>_xlfn.IFNA(VLOOKUP(B533, '[1]Landfall Stats'!A:G, 5, 0), "No LF")</f>
        <v>No LF</v>
      </c>
      <c r="I533" s="3" t="str">
        <f>_xlfn.IFNA(VLOOKUP(B533, '[1]Landfall Stats'!A:G, 6, 0), "No LF")</f>
        <v>No LF</v>
      </c>
      <c r="J533" s="4" t="s">
        <v>904</v>
      </c>
      <c r="K533" s="3">
        <v>0</v>
      </c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2.75" customHeight="1" x14ac:dyDescent="0.2">
      <c r="A534" s="3">
        <v>2011</v>
      </c>
      <c r="B534" s="3" t="s">
        <v>905</v>
      </c>
      <c r="C534" s="3" t="str">
        <f>VLOOKUP($B534, '[1]HURDAT Query'!$A$1:$F$1030, 3, 0)</f>
        <v>NATE</v>
      </c>
      <c r="D534" s="3">
        <f>VLOOKUP($B534, '[1]HURDAT Query'!$A$1:$F$1030, 4, 0)</f>
        <v>1</v>
      </c>
      <c r="E534" s="3">
        <f>VLOOKUP($B534, '[1]HURDAT Query'!$A$1:$F$1030, 5, 0)</f>
        <v>65</v>
      </c>
      <c r="F534" s="3">
        <f>VLOOKUP($B534, '[1]HURDAT Query'!$A$1:$F$1030, 6, 0)</f>
        <v>994</v>
      </c>
      <c r="G534" s="3" t="str">
        <f>_xlfn.IFNA(VLOOKUP(B534, '[1]Landfall Stats'!A:G, 7, 0), "No LF")</f>
        <v>No LF</v>
      </c>
      <c r="H534" s="3" t="str">
        <f>_xlfn.IFNA(VLOOKUP(B534, '[1]Landfall Stats'!A:G, 5, 0), "No LF")</f>
        <v>No LF</v>
      </c>
      <c r="I534" s="3" t="str">
        <f>_xlfn.IFNA(VLOOKUP(B534, '[1]Landfall Stats'!A:G, 6, 0), "No LF")</f>
        <v>No LF</v>
      </c>
      <c r="J534" s="4" t="s">
        <v>906</v>
      </c>
      <c r="K534" s="3">
        <v>0</v>
      </c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12.75" customHeight="1" x14ac:dyDescent="0.2">
      <c r="A535" s="3">
        <v>2011</v>
      </c>
      <c r="B535" s="3" t="s">
        <v>907</v>
      </c>
      <c r="C535" s="3" t="str">
        <f>VLOOKUP($B535, '[1]HURDAT Query'!$A$1:$F$1030, 3, 0)</f>
        <v>OPHELIA</v>
      </c>
      <c r="D535" s="3">
        <f>VLOOKUP($B535, '[1]HURDAT Query'!$A$1:$F$1030, 4, 0)</f>
        <v>4</v>
      </c>
      <c r="E535" s="3">
        <f>VLOOKUP($B535, '[1]HURDAT Query'!$A$1:$F$1030, 5, 0)</f>
        <v>120</v>
      </c>
      <c r="F535" s="3">
        <f>VLOOKUP($B535, '[1]HURDAT Query'!$A$1:$F$1030, 6, 0)</f>
        <v>940</v>
      </c>
      <c r="G535" s="3" t="str">
        <f>_xlfn.IFNA(VLOOKUP(B535, '[1]Landfall Stats'!A:G, 7, 0), "No LF")</f>
        <v>No LF</v>
      </c>
      <c r="H535" s="3" t="str">
        <f>_xlfn.IFNA(VLOOKUP(B535, '[1]Landfall Stats'!A:G, 5, 0), "No LF")</f>
        <v>No LF</v>
      </c>
      <c r="I535" s="3" t="str">
        <f>_xlfn.IFNA(VLOOKUP(B535, '[1]Landfall Stats'!A:G, 6, 0), "No LF")</f>
        <v>No LF</v>
      </c>
      <c r="J535" s="4" t="s">
        <v>908</v>
      </c>
      <c r="K535" s="3">
        <v>0</v>
      </c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2.75" customHeight="1" x14ac:dyDescent="0.2">
      <c r="A536" s="3">
        <v>2011</v>
      </c>
      <c r="B536" s="3" t="s">
        <v>909</v>
      </c>
      <c r="C536" s="3" t="str">
        <f>VLOOKUP($B536, '[1]HURDAT Query'!$A$1:$F$1030, 3, 0)</f>
        <v>PHILIPPE</v>
      </c>
      <c r="D536" s="3">
        <f>VLOOKUP($B536, '[1]HURDAT Query'!$A$1:$F$1030, 4, 0)</f>
        <v>1</v>
      </c>
      <c r="E536" s="3">
        <f>VLOOKUP($B536, '[1]HURDAT Query'!$A$1:$F$1030, 5, 0)</f>
        <v>80</v>
      </c>
      <c r="F536" s="3">
        <f>VLOOKUP($B536, '[1]HURDAT Query'!$A$1:$F$1030, 6, 0)</f>
        <v>976</v>
      </c>
      <c r="G536" s="3" t="str">
        <f>_xlfn.IFNA(VLOOKUP(B536, '[1]Landfall Stats'!A:G, 7, 0), "No LF")</f>
        <v>No LF</v>
      </c>
      <c r="H536" s="3" t="str">
        <f>_xlfn.IFNA(VLOOKUP(B536, '[1]Landfall Stats'!A:G, 5, 0), "No LF")</f>
        <v>No LF</v>
      </c>
      <c r="I536" s="3" t="str">
        <f>_xlfn.IFNA(VLOOKUP(B536, '[1]Landfall Stats'!A:G, 6, 0), "No LF")</f>
        <v>No LF</v>
      </c>
      <c r="J536" s="4" t="s">
        <v>910</v>
      </c>
      <c r="K536" s="3">
        <v>0</v>
      </c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2.75" customHeight="1" x14ac:dyDescent="0.2">
      <c r="A537" s="3">
        <v>2011</v>
      </c>
      <c r="B537" s="3" t="s">
        <v>911</v>
      </c>
      <c r="C537" s="3" t="str">
        <f>VLOOKUP($B537, '[1]HURDAT Query'!$A$1:$F$1030, 3, 0)</f>
        <v>RINA</v>
      </c>
      <c r="D537" s="3">
        <f>VLOOKUP($B537, '[1]HURDAT Query'!$A$1:$F$1030, 4, 0)</f>
        <v>3</v>
      </c>
      <c r="E537" s="3">
        <f>VLOOKUP($B537, '[1]HURDAT Query'!$A$1:$F$1030, 5, 0)</f>
        <v>100</v>
      </c>
      <c r="F537" s="3">
        <f>VLOOKUP($B537, '[1]HURDAT Query'!$A$1:$F$1030, 6, 0)</f>
        <v>966</v>
      </c>
      <c r="G537" s="3" t="str">
        <f>_xlfn.IFNA(VLOOKUP(B537, '[1]Landfall Stats'!A:G, 7, 0), "No LF")</f>
        <v>No LF</v>
      </c>
      <c r="H537" s="3" t="str">
        <f>_xlfn.IFNA(VLOOKUP(B537, '[1]Landfall Stats'!A:G, 5, 0), "No LF")</f>
        <v>No LF</v>
      </c>
      <c r="I537" s="3" t="str">
        <f>_xlfn.IFNA(VLOOKUP(B537, '[1]Landfall Stats'!A:G, 6, 0), "No LF")</f>
        <v>No LF</v>
      </c>
      <c r="J537" s="4" t="s">
        <v>912</v>
      </c>
      <c r="K537" s="3">
        <v>0</v>
      </c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2.75" customHeight="1" x14ac:dyDescent="0.2">
      <c r="A538" s="3">
        <v>2011</v>
      </c>
      <c r="B538" s="3" t="s">
        <v>913</v>
      </c>
      <c r="C538" s="3" t="str">
        <f>VLOOKUP($B538, '[1]HURDAT Query'!$A$1:$F$1030, 3, 0)</f>
        <v>SEAN</v>
      </c>
      <c r="D538" s="3" t="str">
        <f>VLOOKUP($B538, '[1]HURDAT Query'!$A$1:$F$1030, 4, 0)</f>
        <v>NA</v>
      </c>
      <c r="E538" s="3" t="str">
        <f>VLOOKUP($B538, '[1]HURDAT Query'!$A$1:$F$1030, 5, 0)</f>
        <v>NA</v>
      </c>
      <c r="F538" s="3" t="str">
        <f>VLOOKUP($B538, '[1]HURDAT Query'!$A$1:$F$1030, 6, 0)</f>
        <v>NA</v>
      </c>
      <c r="G538" s="3" t="str">
        <f>_xlfn.IFNA(VLOOKUP(B538, '[1]Landfall Stats'!A:G, 7, 0), "No LF")</f>
        <v>No LF</v>
      </c>
      <c r="H538" s="3" t="str">
        <f>_xlfn.IFNA(VLOOKUP(B538, '[1]Landfall Stats'!A:G, 5, 0), "No LF")</f>
        <v>No LF</v>
      </c>
      <c r="I538" s="3" t="str">
        <f>_xlfn.IFNA(VLOOKUP(B538, '[1]Landfall Stats'!A:G, 6, 0), "No LF")</f>
        <v>No LF</v>
      </c>
      <c r="J538" s="4" t="s">
        <v>914</v>
      </c>
      <c r="K538" s="3">
        <v>0</v>
      </c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2.75" customHeight="1" x14ac:dyDescent="0.2">
      <c r="A539" s="3">
        <v>2012</v>
      </c>
      <c r="B539" s="3" t="s">
        <v>915</v>
      </c>
      <c r="C539" s="3" t="str">
        <f>VLOOKUP($B539, '[1]HURDAT Query'!$A$1:$F$1030, 3, 0)</f>
        <v>ALBERTO</v>
      </c>
      <c r="D539" s="3" t="str">
        <f>VLOOKUP($B539, '[1]HURDAT Query'!$A$1:$F$1030, 4, 0)</f>
        <v>NA</v>
      </c>
      <c r="E539" s="3" t="str">
        <f>VLOOKUP($B539, '[1]HURDAT Query'!$A$1:$F$1030, 5, 0)</f>
        <v>NA</v>
      </c>
      <c r="F539" s="3" t="str">
        <f>VLOOKUP($B539, '[1]HURDAT Query'!$A$1:$F$1030, 6, 0)</f>
        <v>NA</v>
      </c>
      <c r="G539" s="3" t="str">
        <f>_xlfn.IFNA(VLOOKUP(B539, '[1]Landfall Stats'!A:G, 7, 0), "No LF")</f>
        <v>No LF</v>
      </c>
      <c r="H539" s="3" t="str">
        <f>_xlfn.IFNA(VLOOKUP(B539, '[1]Landfall Stats'!A:G, 5, 0), "No LF")</f>
        <v>No LF</v>
      </c>
      <c r="I539" s="3" t="str">
        <f>_xlfn.IFNA(VLOOKUP(B539, '[1]Landfall Stats'!A:G, 6, 0), "No LF")</f>
        <v>No LF</v>
      </c>
      <c r="J539" s="4" t="s">
        <v>916</v>
      </c>
      <c r="K539" s="3">
        <v>0</v>
      </c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12.75" customHeight="1" x14ac:dyDescent="0.2">
      <c r="A540" s="3">
        <v>2012</v>
      </c>
      <c r="B540" s="3" t="s">
        <v>917</v>
      </c>
      <c r="C540" s="3" t="str">
        <f>VLOOKUP($B540, '[1]HURDAT Query'!$A$1:$F$1030, 3, 0)</f>
        <v>BERYL</v>
      </c>
      <c r="D540" s="3" t="str">
        <f>VLOOKUP($B540, '[1]HURDAT Query'!$A$1:$F$1030, 4, 0)</f>
        <v>NA</v>
      </c>
      <c r="E540" s="3" t="str">
        <f>VLOOKUP($B540, '[1]HURDAT Query'!$A$1:$F$1030, 5, 0)</f>
        <v>NA</v>
      </c>
      <c r="F540" s="3" t="str">
        <f>VLOOKUP($B540, '[1]HURDAT Query'!$A$1:$F$1030, 6, 0)</f>
        <v>NA</v>
      </c>
      <c r="G540" s="3" t="str">
        <f>_xlfn.IFNA(VLOOKUP(B540, '[1]Landfall Stats'!A:G, 7, 0), "No LF")</f>
        <v>No LF</v>
      </c>
      <c r="H540" s="3" t="str">
        <f>_xlfn.IFNA(VLOOKUP(B540, '[1]Landfall Stats'!A:G, 5, 0), "No LF")</f>
        <v>No LF</v>
      </c>
      <c r="I540" s="3" t="str">
        <f>_xlfn.IFNA(VLOOKUP(B540, '[1]Landfall Stats'!A:G, 6, 0), "No LF")</f>
        <v>No LF</v>
      </c>
      <c r="J540" s="4" t="s">
        <v>918</v>
      </c>
      <c r="K540" s="3">
        <v>1</v>
      </c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>
        <v>1</v>
      </c>
      <c r="Y540" s="3" t="s">
        <v>310</v>
      </c>
      <c r="Z540" s="3"/>
      <c r="AA540" s="3"/>
      <c r="AB540" s="3"/>
      <c r="AC540" s="3"/>
      <c r="AD540" s="3"/>
      <c r="AE540" s="3"/>
    </row>
    <row r="541" spans="1:31" ht="12.75" customHeight="1" x14ac:dyDescent="0.2">
      <c r="A541" s="3">
        <v>2012</v>
      </c>
      <c r="B541" s="3" t="s">
        <v>919</v>
      </c>
      <c r="C541" s="3" t="str">
        <f>VLOOKUP($B541, '[1]HURDAT Query'!$A$1:$F$1030, 3, 0)</f>
        <v>CHRIS</v>
      </c>
      <c r="D541" s="3">
        <f>VLOOKUP($B541, '[1]HURDAT Query'!$A$1:$F$1030, 4, 0)</f>
        <v>1</v>
      </c>
      <c r="E541" s="3">
        <f>VLOOKUP($B541, '[1]HURDAT Query'!$A$1:$F$1030, 5, 0)</f>
        <v>75</v>
      </c>
      <c r="F541" s="3">
        <f>VLOOKUP($B541, '[1]HURDAT Query'!$A$1:$F$1030, 6, 0)</f>
        <v>974</v>
      </c>
      <c r="G541" s="3" t="str">
        <f>_xlfn.IFNA(VLOOKUP(B541, '[1]Landfall Stats'!A:G, 7, 0), "No LF")</f>
        <v>No LF</v>
      </c>
      <c r="H541" s="3" t="str">
        <f>_xlfn.IFNA(VLOOKUP(B541, '[1]Landfall Stats'!A:G, 5, 0), "No LF")</f>
        <v>No LF</v>
      </c>
      <c r="I541" s="3" t="str">
        <f>_xlfn.IFNA(VLOOKUP(B541, '[1]Landfall Stats'!A:G, 6, 0), "No LF")</f>
        <v>No LF</v>
      </c>
      <c r="J541" s="4" t="s">
        <v>920</v>
      </c>
      <c r="K541" s="3">
        <v>0</v>
      </c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2.75" customHeight="1" x14ac:dyDescent="0.2">
      <c r="A542" s="3">
        <v>2012</v>
      </c>
      <c r="B542" s="3" t="s">
        <v>921</v>
      </c>
      <c r="C542" s="3" t="str">
        <f>VLOOKUP($B542, '[1]HURDAT Query'!$A$1:$F$1030, 3, 0)</f>
        <v>DEBBY</v>
      </c>
      <c r="D542" s="3" t="str">
        <f>VLOOKUP($B542, '[1]HURDAT Query'!$A$1:$F$1030, 4, 0)</f>
        <v>NA</v>
      </c>
      <c r="E542" s="3" t="str">
        <f>VLOOKUP($B542, '[1]HURDAT Query'!$A$1:$F$1030, 5, 0)</f>
        <v>NA</v>
      </c>
      <c r="F542" s="3" t="str">
        <f>VLOOKUP($B542, '[1]HURDAT Query'!$A$1:$F$1030, 6, 0)</f>
        <v>NA</v>
      </c>
      <c r="G542" s="3" t="str">
        <f>_xlfn.IFNA(VLOOKUP(B542, '[1]Landfall Stats'!A:G, 7, 0), "No LF")</f>
        <v>No LF</v>
      </c>
      <c r="H542" s="3" t="str">
        <f>_xlfn.IFNA(VLOOKUP(B542, '[1]Landfall Stats'!A:G, 5, 0), "No LF")</f>
        <v>No LF</v>
      </c>
      <c r="I542" s="3" t="str">
        <f>_xlfn.IFNA(VLOOKUP(B542, '[1]Landfall Stats'!A:G, 6, 0), "No LF")</f>
        <v>No LF</v>
      </c>
      <c r="J542" s="4" t="s">
        <v>922</v>
      </c>
      <c r="K542" s="3">
        <v>5</v>
      </c>
      <c r="L542" s="3"/>
      <c r="M542" s="3"/>
      <c r="N542" s="3">
        <v>3</v>
      </c>
      <c r="O542" s="3" t="s">
        <v>923</v>
      </c>
      <c r="P542" s="3"/>
      <c r="Q542" s="3"/>
      <c r="R542" s="3"/>
      <c r="S542" s="3"/>
      <c r="T542" s="3">
        <v>1</v>
      </c>
      <c r="U542" s="3" t="s">
        <v>51</v>
      </c>
      <c r="V542" s="3"/>
      <c r="W542" s="3"/>
      <c r="X542" s="3"/>
      <c r="Y542" s="3"/>
      <c r="Z542" s="3">
        <v>1</v>
      </c>
      <c r="AA542" s="3" t="s">
        <v>51</v>
      </c>
      <c r="AB542" s="3"/>
      <c r="AC542" s="3"/>
      <c r="AD542" s="3"/>
      <c r="AE542" s="3"/>
    </row>
    <row r="543" spans="1:31" ht="12.75" customHeight="1" x14ac:dyDescent="0.2">
      <c r="A543" s="3">
        <v>2012</v>
      </c>
      <c r="B543" s="3" t="s">
        <v>924</v>
      </c>
      <c r="C543" s="3" t="str">
        <f>VLOOKUP($B543, '[1]HURDAT Query'!$A$1:$F$1030, 3, 0)</f>
        <v>ERNESTO</v>
      </c>
      <c r="D543" s="3">
        <f>VLOOKUP($B543, '[1]HURDAT Query'!$A$1:$F$1030, 4, 0)</f>
        <v>2</v>
      </c>
      <c r="E543" s="3">
        <f>VLOOKUP($B543, '[1]HURDAT Query'!$A$1:$F$1030, 5, 0)</f>
        <v>85</v>
      </c>
      <c r="F543" s="3">
        <f>VLOOKUP($B543, '[1]HURDAT Query'!$A$1:$F$1030, 6, 0)</f>
        <v>973</v>
      </c>
      <c r="G543" s="3" t="str">
        <f>_xlfn.IFNA(VLOOKUP(B543, '[1]Landfall Stats'!A:G, 7, 0), "No LF")</f>
        <v>No LF</v>
      </c>
      <c r="H543" s="3" t="str">
        <f>_xlfn.IFNA(VLOOKUP(B543, '[1]Landfall Stats'!A:G, 5, 0), "No LF")</f>
        <v>No LF</v>
      </c>
      <c r="I543" s="3" t="str">
        <f>_xlfn.IFNA(VLOOKUP(B543, '[1]Landfall Stats'!A:G, 6, 0), "No LF")</f>
        <v>No LF</v>
      </c>
      <c r="J543" s="4" t="s">
        <v>925</v>
      </c>
      <c r="K543" s="3">
        <v>0</v>
      </c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2.75" customHeight="1" x14ac:dyDescent="0.2">
      <c r="A544" s="3">
        <v>2012</v>
      </c>
      <c r="B544" s="3" t="s">
        <v>926</v>
      </c>
      <c r="C544" s="3" t="str">
        <f>VLOOKUP($B544, '[1]HURDAT Query'!$A$1:$F$1030, 3, 0)</f>
        <v>FLORENCE</v>
      </c>
      <c r="D544" s="3" t="str">
        <f>VLOOKUP($B544, '[1]HURDAT Query'!$A$1:$F$1030, 4, 0)</f>
        <v>NA</v>
      </c>
      <c r="E544" s="3" t="str">
        <f>VLOOKUP($B544, '[1]HURDAT Query'!$A$1:$F$1030, 5, 0)</f>
        <v>NA</v>
      </c>
      <c r="F544" s="3" t="str">
        <f>VLOOKUP($B544, '[1]HURDAT Query'!$A$1:$F$1030, 6, 0)</f>
        <v>NA</v>
      </c>
      <c r="G544" s="3" t="str">
        <f>_xlfn.IFNA(VLOOKUP(B544, '[1]Landfall Stats'!A:G, 7, 0), "No LF")</f>
        <v>No LF</v>
      </c>
      <c r="H544" s="3" t="str">
        <f>_xlfn.IFNA(VLOOKUP(B544, '[1]Landfall Stats'!A:G, 5, 0), "No LF")</f>
        <v>No LF</v>
      </c>
      <c r="I544" s="3" t="str">
        <f>_xlfn.IFNA(VLOOKUP(B544, '[1]Landfall Stats'!A:G, 6, 0), "No LF")</f>
        <v>No LF</v>
      </c>
      <c r="J544" s="4" t="s">
        <v>927</v>
      </c>
      <c r="K544" s="3">
        <v>0</v>
      </c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2.75" customHeight="1" x14ac:dyDescent="0.2">
      <c r="A545" s="3">
        <v>2012</v>
      </c>
      <c r="B545" s="3" t="s">
        <v>928</v>
      </c>
      <c r="C545" s="3" t="str">
        <f>VLOOKUP($B545, '[1]HURDAT Query'!$A$1:$F$1030, 3, 0)</f>
        <v>HELENE</v>
      </c>
      <c r="D545" s="3" t="str">
        <f>VLOOKUP($B545, '[1]HURDAT Query'!$A$1:$F$1030, 4, 0)</f>
        <v>NA</v>
      </c>
      <c r="E545" s="3" t="str">
        <f>VLOOKUP($B545, '[1]HURDAT Query'!$A$1:$F$1030, 5, 0)</f>
        <v>NA</v>
      </c>
      <c r="F545" s="3" t="str">
        <f>VLOOKUP($B545, '[1]HURDAT Query'!$A$1:$F$1030, 6, 0)</f>
        <v>NA</v>
      </c>
      <c r="G545" s="3" t="str">
        <f>_xlfn.IFNA(VLOOKUP(B545, '[1]Landfall Stats'!A:G, 7, 0), "No LF")</f>
        <v>No LF</v>
      </c>
      <c r="H545" s="3" t="str">
        <f>_xlfn.IFNA(VLOOKUP(B545, '[1]Landfall Stats'!A:G, 5, 0), "No LF")</f>
        <v>No LF</v>
      </c>
      <c r="I545" s="3" t="str">
        <f>_xlfn.IFNA(VLOOKUP(B545, '[1]Landfall Stats'!A:G, 6, 0), "No LF")</f>
        <v>No LF</v>
      </c>
      <c r="J545" s="4" t="s">
        <v>929</v>
      </c>
      <c r="K545" s="3">
        <v>0</v>
      </c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2.75" customHeight="1" x14ac:dyDescent="0.2">
      <c r="A546" s="3">
        <v>2012</v>
      </c>
      <c r="B546" s="3" t="s">
        <v>930</v>
      </c>
      <c r="C546" s="3" t="str">
        <f>VLOOKUP($B546, '[1]HURDAT Query'!$A$1:$F$1030, 3, 0)</f>
        <v>GORDON</v>
      </c>
      <c r="D546" s="3">
        <f>VLOOKUP($B546, '[1]HURDAT Query'!$A$1:$F$1030, 4, 0)</f>
        <v>2</v>
      </c>
      <c r="E546" s="3">
        <f>VLOOKUP($B546, '[1]HURDAT Query'!$A$1:$F$1030, 5, 0)</f>
        <v>95</v>
      </c>
      <c r="F546" s="3">
        <f>VLOOKUP($B546, '[1]HURDAT Query'!$A$1:$F$1030, 6, 0)</f>
        <v>965</v>
      </c>
      <c r="G546" s="3" t="str">
        <f>_xlfn.IFNA(VLOOKUP(B546, '[1]Landfall Stats'!A:G, 7, 0), "No LF")</f>
        <v>No LF</v>
      </c>
      <c r="H546" s="3" t="str">
        <f>_xlfn.IFNA(VLOOKUP(B546, '[1]Landfall Stats'!A:G, 5, 0), "No LF")</f>
        <v>No LF</v>
      </c>
      <c r="I546" s="3" t="str">
        <f>_xlfn.IFNA(VLOOKUP(B546, '[1]Landfall Stats'!A:G, 6, 0), "No LF")</f>
        <v>No LF</v>
      </c>
      <c r="J546" s="4" t="s">
        <v>931</v>
      </c>
      <c r="K546" s="3">
        <v>0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2.75" customHeight="1" x14ac:dyDescent="0.2">
      <c r="A547" s="3">
        <v>2012</v>
      </c>
      <c r="B547" s="3" t="s">
        <v>932</v>
      </c>
      <c r="C547" s="3" t="str">
        <f>VLOOKUP($B547, '[1]HURDAT Query'!$A$1:$F$1030, 3, 0)</f>
        <v>ISAAC</v>
      </c>
      <c r="D547" s="3">
        <f>VLOOKUP($B547, '[1]HURDAT Query'!$A$1:$F$1030, 4, 0)</f>
        <v>1</v>
      </c>
      <c r="E547" s="3">
        <f>VLOOKUP($B547, '[1]HURDAT Query'!$A$1:$F$1030, 5, 0)</f>
        <v>70</v>
      </c>
      <c r="F547" s="3">
        <f>VLOOKUP($B547, '[1]HURDAT Query'!$A$1:$F$1030, 6, 0)</f>
        <v>965</v>
      </c>
      <c r="G547" s="3">
        <f>_xlfn.IFNA(VLOOKUP(B547, '[1]Landfall Stats'!A:G, 7, 0), "No LF")</f>
        <v>1</v>
      </c>
      <c r="H547" s="3">
        <f>_xlfn.IFNA(VLOOKUP(B547, '[1]Landfall Stats'!A:G, 5, 0), "No LF")</f>
        <v>70</v>
      </c>
      <c r="I547" s="3">
        <f>_xlfn.IFNA(VLOOKUP(B547, '[1]Landfall Stats'!A:G, 6, 0), "No LF")</f>
        <v>966</v>
      </c>
      <c r="J547" s="4" t="s">
        <v>933</v>
      </c>
      <c r="K547" s="3">
        <v>5</v>
      </c>
      <c r="L547" s="3">
        <v>2</v>
      </c>
      <c r="M547" s="3" t="s">
        <v>37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>
        <v>2</v>
      </c>
      <c r="Y547" s="3" t="s">
        <v>103</v>
      </c>
      <c r="Z547" s="3"/>
      <c r="AA547" s="3"/>
      <c r="AB547" s="3"/>
      <c r="AC547" s="3"/>
      <c r="AD547" s="3">
        <v>1</v>
      </c>
      <c r="AE547" s="3" t="s">
        <v>42</v>
      </c>
    </row>
    <row r="548" spans="1:31" ht="12.75" customHeight="1" x14ac:dyDescent="0.2">
      <c r="A548" s="3">
        <v>2012</v>
      </c>
      <c r="B548" s="3" t="s">
        <v>934</v>
      </c>
      <c r="C548" s="3" t="str">
        <f>VLOOKUP($B548, '[1]HURDAT Query'!$A$1:$F$1030, 3, 0)</f>
        <v>JOYCE</v>
      </c>
      <c r="D548" s="3" t="str">
        <f>VLOOKUP($B548, '[1]HURDAT Query'!$A$1:$F$1030, 4, 0)</f>
        <v>NA</v>
      </c>
      <c r="E548" s="3" t="str">
        <f>VLOOKUP($B548, '[1]HURDAT Query'!$A$1:$F$1030, 5, 0)</f>
        <v>NA</v>
      </c>
      <c r="F548" s="3" t="str">
        <f>VLOOKUP($B548, '[1]HURDAT Query'!$A$1:$F$1030, 6, 0)</f>
        <v>NA</v>
      </c>
      <c r="G548" s="3" t="str">
        <f>_xlfn.IFNA(VLOOKUP(B548, '[1]Landfall Stats'!A:G, 7, 0), "No LF")</f>
        <v>No LF</v>
      </c>
      <c r="H548" s="3" t="str">
        <f>_xlfn.IFNA(VLOOKUP(B548, '[1]Landfall Stats'!A:G, 5, 0), "No LF")</f>
        <v>No LF</v>
      </c>
      <c r="I548" s="3" t="str">
        <f>_xlfn.IFNA(VLOOKUP(B548, '[1]Landfall Stats'!A:G, 6, 0), "No LF")</f>
        <v>No LF</v>
      </c>
      <c r="J548" s="4" t="s">
        <v>935</v>
      </c>
      <c r="K548" s="3">
        <v>0</v>
      </c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2.75" customHeight="1" x14ac:dyDescent="0.2">
      <c r="A549" s="3">
        <v>2012</v>
      </c>
      <c r="B549" s="3" t="s">
        <v>936</v>
      </c>
      <c r="C549" s="3" t="str">
        <f>VLOOKUP($B549, '[1]HURDAT Query'!$A$1:$F$1030, 3, 0)</f>
        <v>KIRK</v>
      </c>
      <c r="D549" s="3">
        <f>VLOOKUP($B549, '[1]HURDAT Query'!$A$1:$F$1030, 4, 0)</f>
        <v>2</v>
      </c>
      <c r="E549" s="3">
        <f>VLOOKUP($B549, '[1]HURDAT Query'!$A$1:$F$1030, 5, 0)</f>
        <v>90</v>
      </c>
      <c r="F549" s="3">
        <f>VLOOKUP($B549, '[1]HURDAT Query'!$A$1:$F$1030, 6, 0)</f>
        <v>970</v>
      </c>
      <c r="G549" s="3" t="str">
        <f>_xlfn.IFNA(VLOOKUP(B549, '[1]Landfall Stats'!A:G, 7, 0), "No LF")</f>
        <v>No LF</v>
      </c>
      <c r="H549" s="3" t="str">
        <f>_xlfn.IFNA(VLOOKUP(B549, '[1]Landfall Stats'!A:G, 5, 0), "No LF")</f>
        <v>No LF</v>
      </c>
      <c r="I549" s="3" t="str">
        <f>_xlfn.IFNA(VLOOKUP(B549, '[1]Landfall Stats'!A:G, 6, 0), "No LF")</f>
        <v>No LF</v>
      </c>
      <c r="J549" s="4" t="s">
        <v>937</v>
      </c>
      <c r="K549" s="3">
        <v>0</v>
      </c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2.75" customHeight="1" x14ac:dyDescent="0.2">
      <c r="A550" s="3">
        <v>2012</v>
      </c>
      <c r="B550" s="3" t="s">
        <v>938</v>
      </c>
      <c r="C550" s="3" t="str">
        <f>VLOOKUP($B550, '[1]HURDAT Query'!$A$1:$F$1030, 3, 0)</f>
        <v>LESLIE</v>
      </c>
      <c r="D550" s="3">
        <f>VLOOKUP($B550, '[1]HURDAT Query'!$A$1:$F$1030, 4, 0)</f>
        <v>1</v>
      </c>
      <c r="E550" s="3">
        <f>VLOOKUP($B550, '[1]HURDAT Query'!$A$1:$F$1030, 5, 0)</f>
        <v>70</v>
      </c>
      <c r="F550" s="3">
        <f>VLOOKUP($B550, '[1]HURDAT Query'!$A$1:$F$1030, 6, 0)</f>
        <v>968</v>
      </c>
      <c r="G550" s="3" t="str">
        <f>_xlfn.IFNA(VLOOKUP(B550, '[1]Landfall Stats'!A:G, 7, 0), "No LF")</f>
        <v>No LF</v>
      </c>
      <c r="H550" s="3" t="str">
        <f>_xlfn.IFNA(VLOOKUP(B550, '[1]Landfall Stats'!A:G, 5, 0), "No LF")</f>
        <v>No LF</v>
      </c>
      <c r="I550" s="3" t="str">
        <f>_xlfn.IFNA(VLOOKUP(B550, '[1]Landfall Stats'!A:G, 6, 0), "No LF")</f>
        <v>No LF</v>
      </c>
      <c r="J550" s="4" t="s">
        <v>939</v>
      </c>
      <c r="K550" s="3">
        <v>0</v>
      </c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2.75" customHeight="1" x14ac:dyDescent="0.2">
      <c r="A551" s="3">
        <v>2012</v>
      </c>
      <c r="B551" s="3" t="s">
        <v>940</v>
      </c>
      <c r="C551" s="3" t="str">
        <f>VLOOKUP($B551, '[1]HURDAT Query'!$A$1:$F$1030, 3, 0)</f>
        <v>MICHAEL</v>
      </c>
      <c r="D551" s="3">
        <f>VLOOKUP($B551, '[1]HURDAT Query'!$A$1:$F$1030, 4, 0)</f>
        <v>3</v>
      </c>
      <c r="E551" s="3">
        <f>VLOOKUP($B551, '[1]HURDAT Query'!$A$1:$F$1030, 5, 0)</f>
        <v>100</v>
      </c>
      <c r="F551" s="3">
        <f>VLOOKUP($B551, '[1]HURDAT Query'!$A$1:$F$1030, 6, 0)</f>
        <v>964</v>
      </c>
      <c r="G551" s="3" t="str">
        <f>_xlfn.IFNA(VLOOKUP(B551, '[1]Landfall Stats'!A:G, 7, 0), "No LF")</f>
        <v>No LF</v>
      </c>
      <c r="H551" s="3" t="str">
        <f>_xlfn.IFNA(VLOOKUP(B551, '[1]Landfall Stats'!A:G, 5, 0), "No LF")</f>
        <v>No LF</v>
      </c>
      <c r="I551" s="3" t="str">
        <f>_xlfn.IFNA(VLOOKUP(B551, '[1]Landfall Stats'!A:G, 6, 0), "No LF")</f>
        <v>No LF</v>
      </c>
      <c r="J551" s="4" t="s">
        <v>941</v>
      </c>
      <c r="K551" s="3">
        <v>0</v>
      </c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2.75" customHeight="1" x14ac:dyDescent="0.2">
      <c r="A552" s="3">
        <v>2012</v>
      </c>
      <c r="B552" s="3" t="s">
        <v>942</v>
      </c>
      <c r="C552" s="3" t="str">
        <f>VLOOKUP($B552, '[1]HURDAT Query'!$A$1:$F$1030, 3, 0)</f>
        <v>NADINE</v>
      </c>
      <c r="D552" s="3">
        <f>VLOOKUP($B552, '[1]HURDAT Query'!$A$1:$F$1030, 4, 0)</f>
        <v>1</v>
      </c>
      <c r="E552" s="3">
        <f>VLOOKUP($B552, '[1]HURDAT Query'!$A$1:$F$1030, 5, 0)</f>
        <v>80</v>
      </c>
      <c r="F552" s="3">
        <f>VLOOKUP($B552, '[1]HURDAT Query'!$A$1:$F$1030, 6, 0)</f>
        <v>978</v>
      </c>
      <c r="G552" s="3" t="str">
        <f>_xlfn.IFNA(VLOOKUP(B552, '[1]Landfall Stats'!A:G, 7, 0), "No LF")</f>
        <v>No LF</v>
      </c>
      <c r="H552" s="3" t="str">
        <f>_xlfn.IFNA(VLOOKUP(B552, '[1]Landfall Stats'!A:G, 5, 0), "No LF")</f>
        <v>No LF</v>
      </c>
      <c r="I552" s="3" t="str">
        <f>_xlfn.IFNA(VLOOKUP(B552, '[1]Landfall Stats'!A:G, 6, 0), "No LF")</f>
        <v>No LF</v>
      </c>
      <c r="J552" s="4" t="s">
        <v>943</v>
      </c>
      <c r="K552" s="3">
        <v>0</v>
      </c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12.75" customHeight="1" x14ac:dyDescent="0.2">
      <c r="A553" s="3">
        <v>2012</v>
      </c>
      <c r="B553" s="3" t="s">
        <v>944</v>
      </c>
      <c r="C553" s="3" t="str">
        <f>VLOOKUP($B553, '[1]HURDAT Query'!$A$1:$F$1030, 3, 0)</f>
        <v>OSCAR</v>
      </c>
      <c r="D553" s="3" t="str">
        <f>VLOOKUP($B553, '[1]HURDAT Query'!$A$1:$F$1030, 4, 0)</f>
        <v>NA</v>
      </c>
      <c r="E553" s="3" t="str">
        <f>VLOOKUP($B553, '[1]HURDAT Query'!$A$1:$F$1030, 5, 0)</f>
        <v>NA</v>
      </c>
      <c r="F553" s="3" t="str">
        <f>VLOOKUP($B553, '[1]HURDAT Query'!$A$1:$F$1030, 6, 0)</f>
        <v>NA</v>
      </c>
      <c r="G553" s="3" t="str">
        <f>_xlfn.IFNA(VLOOKUP(B553, '[1]Landfall Stats'!A:G, 7, 0), "No LF")</f>
        <v>No LF</v>
      </c>
      <c r="H553" s="3" t="str">
        <f>_xlfn.IFNA(VLOOKUP(B553, '[1]Landfall Stats'!A:G, 5, 0), "No LF")</f>
        <v>No LF</v>
      </c>
      <c r="I553" s="3" t="str">
        <f>_xlfn.IFNA(VLOOKUP(B553, '[1]Landfall Stats'!A:G, 6, 0), "No LF")</f>
        <v>No LF</v>
      </c>
      <c r="J553" s="4" t="s">
        <v>945</v>
      </c>
      <c r="K553" s="3">
        <v>0</v>
      </c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2.75" customHeight="1" x14ac:dyDescent="0.2">
      <c r="A554" s="3">
        <v>2012</v>
      </c>
      <c r="B554" s="3" t="s">
        <v>946</v>
      </c>
      <c r="C554" s="3" t="str">
        <f>VLOOKUP($B554, '[1]HURDAT Query'!$A$1:$F$1030, 3, 0)</f>
        <v>PATTY</v>
      </c>
      <c r="D554" s="3" t="str">
        <f>VLOOKUP($B554, '[1]HURDAT Query'!$A$1:$F$1030, 4, 0)</f>
        <v>NA</v>
      </c>
      <c r="E554" s="3" t="str">
        <f>VLOOKUP($B554, '[1]HURDAT Query'!$A$1:$F$1030, 5, 0)</f>
        <v>NA</v>
      </c>
      <c r="F554" s="3" t="str">
        <f>VLOOKUP($B554, '[1]HURDAT Query'!$A$1:$F$1030, 6, 0)</f>
        <v>NA</v>
      </c>
      <c r="G554" s="3" t="str">
        <f>_xlfn.IFNA(VLOOKUP(B554, '[1]Landfall Stats'!A:G, 7, 0), "No LF")</f>
        <v>No LF</v>
      </c>
      <c r="H554" s="3" t="str">
        <f>_xlfn.IFNA(VLOOKUP(B554, '[1]Landfall Stats'!A:G, 5, 0), "No LF")</f>
        <v>No LF</v>
      </c>
      <c r="I554" s="3" t="str">
        <f>_xlfn.IFNA(VLOOKUP(B554, '[1]Landfall Stats'!A:G, 6, 0), "No LF")</f>
        <v>No LF</v>
      </c>
      <c r="J554" s="4" t="s">
        <v>947</v>
      </c>
      <c r="K554" s="3">
        <v>0</v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2.75" customHeight="1" x14ac:dyDescent="0.2">
      <c r="A555" s="3">
        <v>2012</v>
      </c>
      <c r="B555" s="3" t="s">
        <v>948</v>
      </c>
      <c r="C555" s="3" t="str">
        <f>VLOOKUP($B555, '[1]HURDAT Query'!$A$1:$F$1030, 3, 0)</f>
        <v>RAFAEL</v>
      </c>
      <c r="D555" s="3">
        <f>VLOOKUP($B555, '[1]HURDAT Query'!$A$1:$F$1030, 4, 0)</f>
        <v>1</v>
      </c>
      <c r="E555" s="3">
        <f>VLOOKUP($B555, '[1]HURDAT Query'!$A$1:$F$1030, 5, 0)</f>
        <v>80</v>
      </c>
      <c r="F555" s="3">
        <f>VLOOKUP($B555, '[1]HURDAT Query'!$A$1:$F$1030, 6, 0)</f>
        <v>969</v>
      </c>
      <c r="G555" s="3" t="str">
        <f>_xlfn.IFNA(VLOOKUP(B555, '[1]Landfall Stats'!A:G, 7, 0), "No LF")</f>
        <v>No LF</v>
      </c>
      <c r="H555" s="3" t="str">
        <f>_xlfn.IFNA(VLOOKUP(B555, '[1]Landfall Stats'!A:G, 5, 0), "No LF")</f>
        <v>No LF</v>
      </c>
      <c r="I555" s="3" t="str">
        <f>_xlfn.IFNA(VLOOKUP(B555, '[1]Landfall Stats'!A:G, 6, 0), "No LF")</f>
        <v>No LF</v>
      </c>
      <c r="J555" s="4" t="s">
        <v>949</v>
      </c>
      <c r="K555" s="3">
        <v>0</v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2.75" customHeight="1" x14ac:dyDescent="0.2">
      <c r="A556" s="3">
        <v>2012</v>
      </c>
      <c r="B556" s="3" t="s">
        <v>950</v>
      </c>
      <c r="C556" s="3" t="str">
        <f>VLOOKUP($B556, '[1]HURDAT Query'!$A$1:$F$1030, 3, 0)</f>
        <v>SANDY</v>
      </c>
      <c r="D556" s="3">
        <f>VLOOKUP($B556, '[1]HURDAT Query'!$A$1:$F$1030, 4, 0)</f>
        <v>3</v>
      </c>
      <c r="E556" s="3">
        <f>VLOOKUP($B556, '[1]HURDAT Query'!$A$1:$F$1030, 5, 0)</f>
        <v>100</v>
      </c>
      <c r="F556" s="3">
        <f>VLOOKUP($B556, '[1]HURDAT Query'!$A$1:$F$1030, 6, 0)</f>
        <v>940</v>
      </c>
      <c r="G556" s="3" t="str">
        <f>_xlfn.IFNA(VLOOKUP(B556, '[1]Landfall Stats'!A:G, 7, 0), "No LF")</f>
        <v>NA</v>
      </c>
      <c r="H556" s="3">
        <f>_xlfn.IFNA(VLOOKUP(B556, '[1]Landfall Stats'!A:G, 5, 0), "No LF")</f>
        <v>70</v>
      </c>
      <c r="I556" s="3">
        <f>_xlfn.IFNA(VLOOKUP(B556, '[1]Landfall Stats'!A:G, 6, 0), "No LF")</f>
        <v>945</v>
      </c>
      <c r="J556" s="4" t="s">
        <v>951</v>
      </c>
      <c r="K556" s="3">
        <v>74</v>
      </c>
      <c r="L556" s="3">
        <v>41</v>
      </c>
      <c r="M556" s="3" t="s">
        <v>42</v>
      </c>
      <c r="N556" s="3">
        <v>2</v>
      </c>
      <c r="O556" s="3" t="s">
        <v>42</v>
      </c>
      <c r="P556" s="3">
        <v>3</v>
      </c>
      <c r="Q556" s="3" t="s">
        <v>42</v>
      </c>
      <c r="R556" s="3"/>
      <c r="S556" s="3"/>
      <c r="T556" s="3">
        <v>1</v>
      </c>
      <c r="U556" s="3" t="s">
        <v>42</v>
      </c>
      <c r="V556" s="3">
        <v>5</v>
      </c>
      <c r="W556" s="3" t="s">
        <v>42</v>
      </c>
      <c r="X556" s="3">
        <v>20</v>
      </c>
      <c r="Y556" s="3" t="s">
        <v>42</v>
      </c>
      <c r="Z556" s="3"/>
      <c r="AA556" s="3"/>
      <c r="AB556" s="3"/>
      <c r="AC556" s="3"/>
      <c r="AD556" s="3">
        <v>2</v>
      </c>
      <c r="AE556" s="3" t="s">
        <v>42</v>
      </c>
    </row>
    <row r="557" spans="1:31" ht="12.75" customHeight="1" x14ac:dyDescent="0.2">
      <c r="A557" s="3">
        <v>2012</v>
      </c>
      <c r="B557" s="3" t="s">
        <v>952</v>
      </c>
      <c r="C557" s="3" t="str">
        <f>VLOOKUP($B557, '[1]HURDAT Query'!$A$1:$F$1030, 3, 0)</f>
        <v>TONY</v>
      </c>
      <c r="D557" s="3" t="str">
        <f>VLOOKUP($B557, '[1]HURDAT Query'!$A$1:$F$1030, 4, 0)</f>
        <v>NA</v>
      </c>
      <c r="E557" s="3" t="str">
        <f>VLOOKUP($B557, '[1]HURDAT Query'!$A$1:$F$1030, 5, 0)</f>
        <v>NA</v>
      </c>
      <c r="F557" s="3" t="str">
        <f>VLOOKUP($B557, '[1]HURDAT Query'!$A$1:$F$1030, 6, 0)</f>
        <v>NA</v>
      </c>
      <c r="G557" s="3" t="str">
        <f>_xlfn.IFNA(VLOOKUP(B557, '[1]Landfall Stats'!A:G, 7, 0), "No LF")</f>
        <v>No LF</v>
      </c>
      <c r="H557" s="3" t="str">
        <f>_xlfn.IFNA(VLOOKUP(B557, '[1]Landfall Stats'!A:G, 5, 0), "No LF")</f>
        <v>No LF</v>
      </c>
      <c r="I557" s="3" t="str">
        <f>_xlfn.IFNA(VLOOKUP(B557, '[1]Landfall Stats'!A:G, 6, 0), "No LF")</f>
        <v>No LF</v>
      </c>
      <c r="J557" s="4" t="s">
        <v>953</v>
      </c>
      <c r="K557" s="3">
        <v>0</v>
      </c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12.75" customHeight="1" x14ac:dyDescent="0.2">
      <c r="A558" s="3">
        <v>2013</v>
      </c>
      <c r="B558" s="3" t="s">
        <v>954</v>
      </c>
      <c r="C558" s="3" t="str">
        <f>VLOOKUP($B558, '[1]HURDAT Query'!$A$1:$F$1030, 3, 0)</f>
        <v>ANDREA</v>
      </c>
      <c r="D558" s="3" t="str">
        <f>VLOOKUP($B558, '[1]HURDAT Query'!$A$1:$F$1030, 4, 0)</f>
        <v>NA</v>
      </c>
      <c r="E558" s="3" t="str">
        <f>VLOOKUP($B558, '[1]HURDAT Query'!$A$1:$F$1030, 5, 0)</f>
        <v>NA</v>
      </c>
      <c r="F558" s="3" t="str">
        <f>VLOOKUP($B558, '[1]HURDAT Query'!$A$1:$F$1030, 6, 0)</f>
        <v>NA</v>
      </c>
      <c r="G558" s="3" t="str">
        <f>_xlfn.IFNA(VLOOKUP(B558, '[1]Landfall Stats'!A:G, 7, 0), "No LF")</f>
        <v>NA</v>
      </c>
      <c r="H558" s="3">
        <f>_xlfn.IFNA(VLOOKUP(B558, '[1]Landfall Stats'!A:G, 5, 0), "No LF")</f>
        <v>50</v>
      </c>
      <c r="I558" s="3">
        <f>_xlfn.IFNA(VLOOKUP(B558, '[1]Landfall Stats'!A:G, 6, 0), "No LF")</f>
        <v>992</v>
      </c>
      <c r="J558" s="4" t="s">
        <v>955</v>
      </c>
      <c r="K558" s="3">
        <v>1</v>
      </c>
      <c r="L558" s="3"/>
      <c r="M558" s="3"/>
      <c r="N558" s="3">
        <v>1</v>
      </c>
      <c r="O558" s="3" t="s">
        <v>310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2.75" customHeight="1" x14ac:dyDescent="0.2">
      <c r="A559" s="3">
        <v>2013</v>
      </c>
      <c r="B559" s="3" t="s">
        <v>956</v>
      </c>
      <c r="C559" s="3" t="str">
        <f>VLOOKUP($B559, '[1]HURDAT Query'!$A$1:$F$1030, 3, 0)</f>
        <v>BARRY</v>
      </c>
      <c r="D559" s="3" t="str">
        <f>VLOOKUP($B559, '[1]HURDAT Query'!$A$1:$F$1030, 4, 0)</f>
        <v>NA</v>
      </c>
      <c r="E559" s="3" t="str">
        <f>VLOOKUP($B559, '[1]HURDAT Query'!$A$1:$F$1030, 5, 0)</f>
        <v>NA</v>
      </c>
      <c r="F559" s="3" t="str">
        <f>VLOOKUP($B559, '[1]HURDAT Query'!$A$1:$F$1030, 6, 0)</f>
        <v>NA</v>
      </c>
      <c r="G559" s="3" t="str">
        <f>_xlfn.IFNA(VLOOKUP(B559, '[1]Landfall Stats'!A:G, 7, 0), "No LF")</f>
        <v>No LF</v>
      </c>
      <c r="H559" s="3" t="str">
        <f>_xlfn.IFNA(VLOOKUP(B559, '[1]Landfall Stats'!A:G, 5, 0), "No LF")</f>
        <v>No LF</v>
      </c>
      <c r="I559" s="3" t="str">
        <f>_xlfn.IFNA(VLOOKUP(B559, '[1]Landfall Stats'!A:G, 6, 0), "No LF")</f>
        <v>No LF</v>
      </c>
      <c r="J559" s="4" t="s">
        <v>957</v>
      </c>
      <c r="K559" s="3">
        <v>0</v>
      </c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2.75" customHeight="1" x14ac:dyDescent="0.2">
      <c r="A560" s="3">
        <v>2013</v>
      </c>
      <c r="B560" s="3" t="s">
        <v>958</v>
      </c>
      <c r="C560" s="3" t="str">
        <f>VLOOKUP($B560, '[1]HURDAT Query'!$A$1:$F$1030, 3, 0)</f>
        <v>CHANTAL</v>
      </c>
      <c r="D560" s="3" t="str">
        <f>VLOOKUP($B560, '[1]HURDAT Query'!$A$1:$F$1030, 4, 0)</f>
        <v>NA</v>
      </c>
      <c r="E560" s="3" t="str">
        <f>VLOOKUP($B560, '[1]HURDAT Query'!$A$1:$F$1030, 5, 0)</f>
        <v>NA</v>
      </c>
      <c r="F560" s="3" t="str">
        <f>VLOOKUP($B560, '[1]HURDAT Query'!$A$1:$F$1030, 6, 0)</f>
        <v>NA</v>
      </c>
      <c r="G560" s="3" t="str">
        <f>_xlfn.IFNA(VLOOKUP(B560, '[1]Landfall Stats'!A:G, 7, 0), "No LF")</f>
        <v>No LF</v>
      </c>
      <c r="H560" s="3" t="str">
        <f>_xlfn.IFNA(VLOOKUP(B560, '[1]Landfall Stats'!A:G, 5, 0), "No LF")</f>
        <v>No LF</v>
      </c>
      <c r="I560" s="3" t="str">
        <f>_xlfn.IFNA(VLOOKUP(B560, '[1]Landfall Stats'!A:G, 6, 0), "No LF")</f>
        <v>No LF</v>
      </c>
      <c r="J560" s="4" t="s">
        <v>959</v>
      </c>
      <c r="K560" s="3">
        <v>0</v>
      </c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2.75" customHeight="1" x14ac:dyDescent="0.2">
      <c r="A561" s="3">
        <v>2013</v>
      </c>
      <c r="B561" s="3" t="s">
        <v>960</v>
      </c>
      <c r="C561" s="3" t="str">
        <f>VLOOKUP($B561, '[1]HURDAT Query'!$A$1:$F$1030, 3, 0)</f>
        <v>DORIAN</v>
      </c>
      <c r="D561" s="3" t="str">
        <f>VLOOKUP($B561, '[1]HURDAT Query'!$A$1:$F$1030, 4, 0)</f>
        <v>NA</v>
      </c>
      <c r="E561" s="3" t="str">
        <f>VLOOKUP($B561, '[1]HURDAT Query'!$A$1:$F$1030, 5, 0)</f>
        <v>NA</v>
      </c>
      <c r="F561" s="3" t="str">
        <f>VLOOKUP($B561, '[1]HURDAT Query'!$A$1:$F$1030, 6, 0)</f>
        <v>NA</v>
      </c>
      <c r="G561" s="3" t="str">
        <f>_xlfn.IFNA(VLOOKUP(B561, '[1]Landfall Stats'!A:G, 7, 0), "No LF")</f>
        <v>No LF</v>
      </c>
      <c r="H561" s="3" t="str">
        <f>_xlfn.IFNA(VLOOKUP(B561, '[1]Landfall Stats'!A:G, 5, 0), "No LF")</f>
        <v>No LF</v>
      </c>
      <c r="I561" s="3" t="str">
        <f>_xlfn.IFNA(VLOOKUP(B561, '[1]Landfall Stats'!A:G, 6, 0), "No LF")</f>
        <v>No LF</v>
      </c>
      <c r="J561" s="4" t="s">
        <v>961</v>
      </c>
      <c r="K561" s="3">
        <v>0</v>
      </c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2.75" customHeight="1" x14ac:dyDescent="0.2">
      <c r="A562" s="3">
        <v>2013</v>
      </c>
      <c r="B562" s="3" t="s">
        <v>962</v>
      </c>
      <c r="C562" s="3" t="str">
        <f>VLOOKUP($B562, '[1]HURDAT Query'!$A$1:$F$1030, 3, 0)</f>
        <v>ERIN</v>
      </c>
      <c r="D562" s="3" t="str">
        <f>VLOOKUP($B562, '[1]HURDAT Query'!$A$1:$F$1030, 4, 0)</f>
        <v>NA</v>
      </c>
      <c r="E562" s="3" t="str">
        <f>VLOOKUP($B562, '[1]HURDAT Query'!$A$1:$F$1030, 5, 0)</f>
        <v>NA</v>
      </c>
      <c r="F562" s="3" t="str">
        <f>VLOOKUP($B562, '[1]HURDAT Query'!$A$1:$F$1030, 6, 0)</f>
        <v>NA</v>
      </c>
      <c r="G562" s="3" t="str">
        <f>_xlfn.IFNA(VLOOKUP(B562, '[1]Landfall Stats'!A:G, 7, 0), "No LF")</f>
        <v>No LF</v>
      </c>
      <c r="H562" s="3" t="str">
        <f>_xlfn.IFNA(VLOOKUP(B562, '[1]Landfall Stats'!A:G, 5, 0), "No LF")</f>
        <v>No LF</v>
      </c>
      <c r="I562" s="3" t="str">
        <f>_xlfn.IFNA(VLOOKUP(B562, '[1]Landfall Stats'!A:G, 6, 0), "No LF")</f>
        <v>No LF</v>
      </c>
      <c r="J562" s="4" t="s">
        <v>963</v>
      </c>
      <c r="K562" s="3">
        <v>0</v>
      </c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2.75" customHeight="1" x14ac:dyDescent="0.2">
      <c r="A563" s="3">
        <v>2013</v>
      </c>
      <c r="B563" s="3" t="s">
        <v>964</v>
      </c>
      <c r="C563" s="3" t="str">
        <f>VLOOKUP($B563, '[1]HURDAT Query'!$A$1:$F$1030, 3, 0)</f>
        <v>FERNAND</v>
      </c>
      <c r="D563" s="3" t="str">
        <f>VLOOKUP($B563, '[1]HURDAT Query'!$A$1:$F$1030, 4, 0)</f>
        <v>NA</v>
      </c>
      <c r="E563" s="3" t="str">
        <f>VLOOKUP($B563, '[1]HURDAT Query'!$A$1:$F$1030, 5, 0)</f>
        <v>NA</v>
      </c>
      <c r="F563" s="3" t="str">
        <f>VLOOKUP($B563, '[1]HURDAT Query'!$A$1:$F$1030, 6, 0)</f>
        <v>NA</v>
      </c>
      <c r="G563" s="3" t="str">
        <f>_xlfn.IFNA(VLOOKUP(B563, '[1]Landfall Stats'!A:G, 7, 0), "No LF")</f>
        <v>No LF</v>
      </c>
      <c r="H563" s="3" t="str">
        <f>_xlfn.IFNA(VLOOKUP(B563, '[1]Landfall Stats'!A:G, 5, 0), "No LF")</f>
        <v>No LF</v>
      </c>
      <c r="I563" s="3" t="str">
        <f>_xlfn.IFNA(VLOOKUP(B563, '[1]Landfall Stats'!A:G, 6, 0), "No LF")</f>
        <v>No LF</v>
      </c>
      <c r="J563" s="4" t="s">
        <v>965</v>
      </c>
      <c r="K563" s="3">
        <v>0</v>
      </c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2.75" customHeight="1" x14ac:dyDescent="0.2">
      <c r="A564" s="3">
        <v>2013</v>
      </c>
      <c r="B564" s="3" t="s">
        <v>966</v>
      </c>
      <c r="C564" s="3" t="str">
        <f>VLOOKUP($B564, '[1]HURDAT Query'!$A$1:$F$1030, 3, 0)</f>
        <v>GABRIELLE</v>
      </c>
      <c r="D564" s="3" t="str">
        <f>VLOOKUP($B564, '[1]HURDAT Query'!$A$1:$F$1030, 4, 0)</f>
        <v>NA</v>
      </c>
      <c r="E564" s="3" t="str">
        <f>VLOOKUP($B564, '[1]HURDAT Query'!$A$1:$F$1030, 5, 0)</f>
        <v>NA</v>
      </c>
      <c r="F564" s="3" t="str">
        <f>VLOOKUP($B564, '[1]HURDAT Query'!$A$1:$F$1030, 6, 0)</f>
        <v>NA</v>
      </c>
      <c r="G564" s="3" t="str">
        <f>_xlfn.IFNA(VLOOKUP(B564, '[1]Landfall Stats'!A:G, 7, 0), "No LF")</f>
        <v>No LF</v>
      </c>
      <c r="H564" s="3" t="str">
        <f>_xlfn.IFNA(VLOOKUP(B564, '[1]Landfall Stats'!A:G, 5, 0), "No LF")</f>
        <v>No LF</v>
      </c>
      <c r="I564" s="3" t="str">
        <f>_xlfn.IFNA(VLOOKUP(B564, '[1]Landfall Stats'!A:G, 6, 0), "No LF")</f>
        <v>No LF</v>
      </c>
      <c r="J564" s="4" t="s">
        <v>967</v>
      </c>
      <c r="K564" s="3">
        <v>0</v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2.75" customHeight="1" x14ac:dyDescent="0.2">
      <c r="A565" s="3">
        <v>2013</v>
      </c>
      <c r="B565" s="3" t="s">
        <v>968</v>
      </c>
      <c r="C565" s="3" t="str">
        <f>VLOOKUP($B565, '[1]HURDAT Query'!$A$1:$F$1030, 3, 0)</f>
        <v>EIGHT</v>
      </c>
      <c r="D565" s="3" t="str">
        <f>VLOOKUP($B565, '[1]HURDAT Query'!$A$1:$F$1030, 4, 0)</f>
        <v>NA</v>
      </c>
      <c r="E565" s="3" t="str">
        <f>VLOOKUP($B565, '[1]HURDAT Query'!$A$1:$F$1030, 5, 0)</f>
        <v>NA</v>
      </c>
      <c r="F565" s="3" t="str">
        <f>VLOOKUP($B565, '[1]HURDAT Query'!$A$1:$F$1030, 6, 0)</f>
        <v>NA</v>
      </c>
      <c r="G565" s="3" t="str">
        <f>_xlfn.IFNA(VLOOKUP(B565, '[1]Landfall Stats'!A:G, 7, 0), "No LF")</f>
        <v>No LF</v>
      </c>
      <c r="H565" s="3" t="str">
        <f>_xlfn.IFNA(VLOOKUP(B565, '[1]Landfall Stats'!A:G, 5, 0), "No LF")</f>
        <v>No LF</v>
      </c>
      <c r="I565" s="3" t="str">
        <f>_xlfn.IFNA(VLOOKUP(B565, '[1]Landfall Stats'!A:G, 6, 0), "No LF")</f>
        <v>No LF</v>
      </c>
      <c r="J565" s="4" t="s">
        <v>969</v>
      </c>
      <c r="K565" s="3">
        <v>0</v>
      </c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2.75" customHeight="1" x14ac:dyDescent="0.2">
      <c r="A566" s="3">
        <v>2013</v>
      </c>
      <c r="B566" s="3" t="s">
        <v>970</v>
      </c>
      <c r="C566" s="3" t="str">
        <f>VLOOKUP($B566, '[1]HURDAT Query'!$A$1:$F$1030, 3, 0)</f>
        <v>HUMBERTO</v>
      </c>
      <c r="D566" s="3">
        <f>VLOOKUP($B566, '[1]HURDAT Query'!$A$1:$F$1030, 4, 0)</f>
        <v>1</v>
      </c>
      <c r="E566" s="3">
        <f>VLOOKUP($B566, '[1]HURDAT Query'!$A$1:$F$1030, 5, 0)</f>
        <v>80</v>
      </c>
      <c r="F566" s="3">
        <f>VLOOKUP($B566, '[1]HURDAT Query'!$A$1:$F$1030, 6, 0)</f>
        <v>979</v>
      </c>
      <c r="G566" s="3" t="str">
        <f>_xlfn.IFNA(VLOOKUP(B566, '[1]Landfall Stats'!A:G, 7, 0), "No LF")</f>
        <v>No LF</v>
      </c>
      <c r="H566" s="3" t="str">
        <f>_xlfn.IFNA(VLOOKUP(B566, '[1]Landfall Stats'!A:G, 5, 0), "No LF")</f>
        <v>No LF</v>
      </c>
      <c r="I566" s="3" t="str">
        <f>_xlfn.IFNA(VLOOKUP(B566, '[1]Landfall Stats'!A:G, 6, 0), "No LF")</f>
        <v>No LF</v>
      </c>
      <c r="J566" s="4" t="s">
        <v>971</v>
      </c>
      <c r="K566" s="3">
        <v>0</v>
      </c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12.75" customHeight="1" x14ac:dyDescent="0.2">
      <c r="A567" s="3">
        <v>2013</v>
      </c>
      <c r="B567" s="3" t="s">
        <v>972</v>
      </c>
      <c r="C567" s="3" t="str">
        <f>VLOOKUP($B567, '[1]HURDAT Query'!$A$1:$F$1030, 3, 0)</f>
        <v>INGRID</v>
      </c>
      <c r="D567" s="3">
        <f>VLOOKUP($B567, '[1]HURDAT Query'!$A$1:$F$1030, 4, 0)</f>
        <v>1</v>
      </c>
      <c r="E567" s="3">
        <f>VLOOKUP($B567, '[1]HURDAT Query'!$A$1:$F$1030, 5, 0)</f>
        <v>75</v>
      </c>
      <c r="F567" s="3">
        <f>VLOOKUP($B567, '[1]HURDAT Query'!$A$1:$F$1030, 6, 0)</f>
        <v>983</v>
      </c>
      <c r="G567" s="3" t="str">
        <f>_xlfn.IFNA(VLOOKUP(B567, '[1]Landfall Stats'!A:G, 7, 0), "No LF")</f>
        <v>No LF</v>
      </c>
      <c r="H567" s="3" t="str">
        <f>_xlfn.IFNA(VLOOKUP(B567, '[1]Landfall Stats'!A:G, 5, 0), "No LF")</f>
        <v>No LF</v>
      </c>
      <c r="I567" s="3" t="str">
        <f>_xlfn.IFNA(VLOOKUP(B567, '[1]Landfall Stats'!A:G, 6, 0), "No LF")</f>
        <v>No LF</v>
      </c>
      <c r="J567" s="4" t="s">
        <v>973</v>
      </c>
      <c r="K567" s="3">
        <v>0</v>
      </c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2.75" customHeight="1" x14ac:dyDescent="0.2">
      <c r="A568" s="3">
        <v>2013</v>
      </c>
      <c r="B568" s="3" t="s">
        <v>974</v>
      </c>
      <c r="C568" s="3" t="str">
        <f>VLOOKUP($B568, '[1]HURDAT Query'!$A$1:$F$1030, 3, 0)</f>
        <v>JERRY</v>
      </c>
      <c r="D568" s="3" t="str">
        <f>VLOOKUP($B568, '[1]HURDAT Query'!$A$1:$F$1030, 4, 0)</f>
        <v>NA</v>
      </c>
      <c r="E568" s="3" t="str">
        <f>VLOOKUP($B568, '[1]HURDAT Query'!$A$1:$F$1030, 5, 0)</f>
        <v>NA</v>
      </c>
      <c r="F568" s="3" t="str">
        <f>VLOOKUP($B568, '[1]HURDAT Query'!$A$1:$F$1030, 6, 0)</f>
        <v>NA</v>
      </c>
      <c r="G568" s="3" t="str">
        <f>_xlfn.IFNA(VLOOKUP(B568, '[1]Landfall Stats'!A:G, 7, 0), "No LF")</f>
        <v>No LF</v>
      </c>
      <c r="H568" s="3" t="str">
        <f>_xlfn.IFNA(VLOOKUP(B568, '[1]Landfall Stats'!A:G, 5, 0), "No LF")</f>
        <v>No LF</v>
      </c>
      <c r="I568" s="3" t="str">
        <f>_xlfn.IFNA(VLOOKUP(B568, '[1]Landfall Stats'!A:G, 6, 0), "No LF")</f>
        <v>No LF</v>
      </c>
      <c r="J568" s="4" t="s">
        <v>975</v>
      </c>
      <c r="K568" s="3">
        <v>0</v>
      </c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2.75" customHeight="1" x14ac:dyDescent="0.2">
      <c r="A569" s="3">
        <v>2013</v>
      </c>
      <c r="B569" s="3" t="s">
        <v>976</v>
      </c>
      <c r="C569" s="3" t="str">
        <f>VLOOKUP($B569, '[1]HURDAT Query'!$A$1:$F$1030, 3, 0)</f>
        <v>KAREN</v>
      </c>
      <c r="D569" s="3" t="str">
        <f>VLOOKUP($B569, '[1]HURDAT Query'!$A$1:$F$1030, 4, 0)</f>
        <v>NA</v>
      </c>
      <c r="E569" s="3" t="str">
        <f>VLOOKUP($B569, '[1]HURDAT Query'!$A$1:$F$1030, 5, 0)</f>
        <v>NA</v>
      </c>
      <c r="F569" s="3" t="str">
        <f>VLOOKUP($B569, '[1]HURDAT Query'!$A$1:$F$1030, 6, 0)</f>
        <v>NA</v>
      </c>
      <c r="G569" s="3" t="str">
        <f>_xlfn.IFNA(VLOOKUP(B569, '[1]Landfall Stats'!A:G, 7, 0), "No LF")</f>
        <v>No LF</v>
      </c>
      <c r="H569" s="3" t="str">
        <f>_xlfn.IFNA(VLOOKUP(B569, '[1]Landfall Stats'!A:G, 5, 0), "No LF")</f>
        <v>No LF</v>
      </c>
      <c r="I569" s="3" t="str">
        <f>_xlfn.IFNA(VLOOKUP(B569, '[1]Landfall Stats'!A:G, 6, 0), "No LF")</f>
        <v>No LF</v>
      </c>
      <c r="J569" s="4" t="s">
        <v>977</v>
      </c>
      <c r="K569" s="3">
        <v>0</v>
      </c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2.75" customHeight="1" x14ac:dyDescent="0.2">
      <c r="A570" s="3">
        <v>2013</v>
      </c>
      <c r="B570" s="3" t="s">
        <v>978</v>
      </c>
      <c r="C570" s="3" t="str">
        <f>VLOOKUP($B570, '[1]HURDAT Query'!$A$1:$F$1030, 3, 0)</f>
        <v>LORENZO</v>
      </c>
      <c r="D570" s="3" t="str">
        <f>VLOOKUP($B570, '[1]HURDAT Query'!$A$1:$F$1030, 4, 0)</f>
        <v>NA</v>
      </c>
      <c r="E570" s="3" t="str">
        <f>VLOOKUP($B570, '[1]HURDAT Query'!$A$1:$F$1030, 5, 0)</f>
        <v>NA</v>
      </c>
      <c r="F570" s="3" t="str">
        <f>VLOOKUP($B570, '[1]HURDAT Query'!$A$1:$F$1030, 6, 0)</f>
        <v>NA</v>
      </c>
      <c r="G570" s="3" t="str">
        <f>_xlfn.IFNA(VLOOKUP(B570, '[1]Landfall Stats'!A:G, 7, 0), "No LF")</f>
        <v>No LF</v>
      </c>
      <c r="H570" s="3" t="str">
        <f>_xlfn.IFNA(VLOOKUP(B570, '[1]Landfall Stats'!A:G, 5, 0), "No LF")</f>
        <v>No LF</v>
      </c>
      <c r="I570" s="3" t="str">
        <f>_xlfn.IFNA(VLOOKUP(B570, '[1]Landfall Stats'!A:G, 6, 0), "No LF")</f>
        <v>No LF</v>
      </c>
      <c r="J570" s="4" t="s">
        <v>979</v>
      </c>
      <c r="K570" s="3">
        <v>0</v>
      </c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2.75" customHeight="1" x14ac:dyDescent="0.2">
      <c r="A571" s="3">
        <v>2013</v>
      </c>
      <c r="B571" s="3" t="s">
        <v>980</v>
      </c>
      <c r="C571" s="3" t="str">
        <f>VLOOKUP($B571, '[1]HURDAT Query'!$A$1:$F$1030, 3, 0)</f>
        <v>MELISSA</v>
      </c>
      <c r="D571" s="3" t="str">
        <f>VLOOKUP($B571, '[1]HURDAT Query'!$A$1:$F$1030, 4, 0)</f>
        <v>NA</v>
      </c>
      <c r="E571" s="3" t="str">
        <f>VLOOKUP($B571, '[1]HURDAT Query'!$A$1:$F$1030, 5, 0)</f>
        <v>NA</v>
      </c>
      <c r="F571" s="3" t="str">
        <f>VLOOKUP($B571, '[1]HURDAT Query'!$A$1:$F$1030, 6, 0)</f>
        <v>NA</v>
      </c>
      <c r="G571" s="3" t="str">
        <f>_xlfn.IFNA(VLOOKUP(B571, '[1]Landfall Stats'!A:G, 7, 0), "No LF")</f>
        <v>No LF</v>
      </c>
      <c r="H571" s="3" t="str">
        <f>_xlfn.IFNA(VLOOKUP(B571, '[1]Landfall Stats'!A:G, 5, 0), "No LF")</f>
        <v>No LF</v>
      </c>
      <c r="I571" s="3" t="str">
        <f>_xlfn.IFNA(VLOOKUP(B571, '[1]Landfall Stats'!A:G, 6, 0), "No LF")</f>
        <v>No LF</v>
      </c>
      <c r="J571" s="4" t="s">
        <v>981</v>
      </c>
      <c r="K571" s="3">
        <v>0</v>
      </c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2.75" customHeight="1" x14ac:dyDescent="0.2">
      <c r="A572" s="3">
        <v>2014</v>
      </c>
      <c r="B572" s="3" t="s">
        <v>982</v>
      </c>
      <c r="C572" s="3" t="str">
        <f>VLOOKUP($B572, '[1]HURDAT Query'!$A$1:$F$1030, 3, 0)</f>
        <v>ARTHUR</v>
      </c>
      <c r="D572" s="3">
        <f>VLOOKUP($B572, '[1]HURDAT Query'!$A$1:$F$1030, 4, 0)</f>
        <v>2</v>
      </c>
      <c r="E572" s="3">
        <f>VLOOKUP($B572, '[1]HURDAT Query'!$A$1:$F$1030, 5, 0)</f>
        <v>85</v>
      </c>
      <c r="F572" s="3">
        <f>VLOOKUP($B572, '[1]HURDAT Query'!$A$1:$F$1030, 6, 0)</f>
        <v>973</v>
      </c>
      <c r="G572" s="3">
        <f>_xlfn.IFNA(VLOOKUP(B572, '[1]Landfall Stats'!A:G, 7, 0), "No LF")</f>
        <v>2</v>
      </c>
      <c r="H572" s="3">
        <f>_xlfn.IFNA(VLOOKUP(B572, '[1]Landfall Stats'!A:G, 5, 0), "No LF")</f>
        <v>85</v>
      </c>
      <c r="I572" s="3">
        <f>_xlfn.IFNA(VLOOKUP(B572, '[1]Landfall Stats'!A:G, 6, 0), "No LF")</f>
        <v>973</v>
      </c>
      <c r="J572" s="4" t="s">
        <v>983</v>
      </c>
      <c r="K572" s="3">
        <v>0</v>
      </c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12.75" customHeight="1" x14ac:dyDescent="0.2">
      <c r="A573" s="3">
        <v>2014</v>
      </c>
      <c r="B573" s="3" t="s">
        <v>984</v>
      </c>
      <c r="C573" s="3" t="str">
        <f>VLOOKUP($B573, '[1]HURDAT Query'!$A$1:$F$1030, 3, 0)</f>
        <v>TWO</v>
      </c>
      <c r="D573" s="3" t="str">
        <f>VLOOKUP($B573, '[1]HURDAT Query'!$A$1:$F$1030, 4, 0)</f>
        <v>NA</v>
      </c>
      <c r="E573" s="3" t="str">
        <f>VLOOKUP($B573, '[1]HURDAT Query'!$A$1:$F$1030, 5, 0)</f>
        <v>NA</v>
      </c>
      <c r="F573" s="3" t="str">
        <f>VLOOKUP($B573, '[1]HURDAT Query'!$A$1:$F$1030, 6, 0)</f>
        <v>NA</v>
      </c>
      <c r="G573" s="3" t="str">
        <f>_xlfn.IFNA(VLOOKUP(B573, '[1]Landfall Stats'!A:G, 7, 0), "No LF")</f>
        <v>No LF</v>
      </c>
      <c r="H573" s="3" t="str">
        <f>_xlfn.IFNA(VLOOKUP(B573, '[1]Landfall Stats'!A:G, 5, 0), "No LF")</f>
        <v>No LF</v>
      </c>
      <c r="I573" s="3" t="str">
        <f>_xlfn.IFNA(VLOOKUP(B573, '[1]Landfall Stats'!A:G, 6, 0), "No LF")</f>
        <v>No LF</v>
      </c>
      <c r="J573" s="4" t="s">
        <v>985</v>
      </c>
      <c r="K573" s="3">
        <v>0</v>
      </c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2.75" customHeight="1" x14ac:dyDescent="0.2">
      <c r="A574" s="3">
        <v>2014</v>
      </c>
      <c r="B574" s="3" t="s">
        <v>986</v>
      </c>
      <c r="C574" s="3" t="str">
        <f>VLOOKUP($B574, '[1]HURDAT Query'!$A$1:$F$1030, 3, 0)</f>
        <v>BERTHA</v>
      </c>
      <c r="D574" s="3">
        <f>VLOOKUP($B574, '[1]HURDAT Query'!$A$1:$F$1030, 4, 0)</f>
        <v>1</v>
      </c>
      <c r="E574" s="3">
        <f>VLOOKUP($B574, '[1]HURDAT Query'!$A$1:$F$1030, 5, 0)</f>
        <v>70</v>
      </c>
      <c r="F574" s="3">
        <f>VLOOKUP($B574, '[1]HURDAT Query'!$A$1:$F$1030, 6, 0)</f>
        <v>998</v>
      </c>
      <c r="G574" s="3" t="str">
        <f>_xlfn.IFNA(VLOOKUP(B574, '[1]Landfall Stats'!A:G, 7, 0), "No LF")</f>
        <v>No LF</v>
      </c>
      <c r="H574" s="3" t="str">
        <f>_xlfn.IFNA(VLOOKUP(B574, '[1]Landfall Stats'!A:G, 5, 0), "No LF")</f>
        <v>No LF</v>
      </c>
      <c r="I574" s="3" t="str">
        <f>_xlfn.IFNA(VLOOKUP(B574, '[1]Landfall Stats'!A:G, 6, 0), "No LF")</f>
        <v>No LF</v>
      </c>
      <c r="J574" s="4" t="s">
        <v>987</v>
      </c>
      <c r="K574" s="3">
        <v>2</v>
      </c>
      <c r="L574" s="3"/>
      <c r="M574" s="3"/>
      <c r="N574" s="3"/>
      <c r="O574" s="3"/>
      <c r="P574" s="3"/>
      <c r="Q574" s="3"/>
      <c r="R574" s="3">
        <v>2</v>
      </c>
      <c r="S574" s="3" t="s">
        <v>988</v>
      </c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2.75" customHeight="1" x14ac:dyDescent="0.2">
      <c r="A575" s="3">
        <v>2014</v>
      </c>
      <c r="B575" s="3" t="s">
        <v>989</v>
      </c>
      <c r="C575" s="3" t="str">
        <f>VLOOKUP($B575, '[1]HURDAT Query'!$A$1:$F$1030, 3, 0)</f>
        <v>CRISTOBAL</v>
      </c>
      <c r="D575" s="3">
        <f>VLOOKUP($B575, '[1]HURDAT Query'!$A$1:$F$1030, 4, 0)</f>
        <v>1</v>
      </c>
      <c r="E575" s="3">
        <f>VLOOKUP($B575, '[1]HURDAT Query'!$A$1:$F$1030, 5, 0)</f>
        <v>75</v>
      </c>
      <c r="F575" s="3">
        <f>VLOOKUP($B575, '[1]HURDAT Query'!$A$1:$F$1030, 6, 0)</f>
        <v>965</v>
      </c>
      <c r="G575" s="3" t="str">
        <f>_xlfn.IFNA(VLOOKUP(B575, '[1]Landfall Stats'!A:G, 7, 0), "No LF")</f>
        <v>No LF</v>
      </c>
      <c r="H575" s="3" t="str">
        <f>_xlfn.IFNA(VLOOKUP(B575, '[1]Landfall Stats'!A:G, 5, 0), "No LF")</f>
        <v>No LF</v>
      </c>
      <c r="I575" s="3" t="str">
        <f>_xlfn.IFNA(VLOOKUP(B575, '[1]Landfall Stats'!A:G, 6, 0), "No LF")</f>
        <v>No LF</v>
      </c>
      <c r="J575" s="4" t="s">
        <v>990</v>
      </c>
      <c r="K575" s="3">
        <v>2</v>
      </c>
      <c r="L575" s="3"/>
      <c r="M575" s="3"/>
      <c r="N575" s="3"/>
      <c r="O575" s="3"/>
      <c r="P575" s="3"/>
      <c r="Q575" s="3"/>
      <c r="R575" s="3">
        <v>2</v>
      </c>
      <c r="S575" s="3" t="s">
        <v>991</v>
      </c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2.75" customHeight="1" x14ac:dyDescent="0.2">
      <c r="A576" s="3">
        <v>2014</v>
      </c>
      <c r="B576" s="3" t="s">
        <v>992</v>
      </c>
      <c r="C576" s="3" t="str">
        <f>VLOOKUP($B576, '[1]HURDAT Query'!$A$1:$F$1030, 3, 0)</f>
        <v>DOLLY</v>
      </c>
      <c r="D576" s="3" t="str">
        <f>VLOOKUP($B576, '[1]HURDAT Query'!$A$1:$F$1030, 4, 0)</f>
        <v>NA</v>
      </c>
      <c r="E576" s="3" t="str">
        <f>VLOOKUP($B576, '[1]HURDAT Query'!$A$1:$F$1030, 5, 0)</f>
        <v>NA</v>
      </c>
      <c r="F576" s="3" t="str">
        <f>VLOOKUP($B576, '[1]HURDAT Query'!$A$1:$F$1030, 6, 0)</f>
        <v>NA</v>
      </c>
      <c r="G576" s="3" t="str">
        <f>_xlfn.IFNA(VLOOKUP(B576, '[1]Landfall Stats'!A:G, 7, 0), "No LF")</f>
        <v>No LF</v>
      </c>
      <c r="H576" s="3" t="str">
        <f>_xlfn.IFNA(VLOOKUP(B576, '[1]Landfall Stats'!A:G, 5, 0), "No LF")</f>
        <v>No LF</v>
      </c>
      <c r="I576" s="3" t="str">
        <f>_xlfn.IFNA(VLOOKUP(B576, '[1]Landfall Stats'!A:G, 6, 0), "No LF")</f>
        <v>No LF</v>
      </c>
      <c r="J576" s="4" t="s">
        <v>993</v>
      </c>
      <c r="K576" s="3">
        <v>0</v>
      </c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2.75" customHeight="1" x14ac:dyDescent="0.2">
      <c r="A577" s="3">
        <v>2014</v>
      </c>
      <c r="B577" s="3" t="s">
        <v>994</v>
      </c>
      <c r="C577" s="3" t="str">
        <f>VLOOKUP($B577, '[1]HURDAT Query'!$A$1:$F$1030, 3, 0)</f>
        <v>EDOUARD</v>
      </c>
      <c r="D577" s="3">
        <f>VLOOKUP($B577, '[1]HURDAT Query'!$A$1:$F$1030, 4, 0)</f>
        <v>3</v>
      </c>
      <c r="E577" s="3">
        <f>VLOOKUP($B577, '[1]HURDAT Query'!$A$1:$F$1030, 5, 0)</f>
        <v>105</v>
      </c>
      <c r="F577" s="3">
        <f>VLOOKUP($B577, '[1]HURDAT Query'!$A$1:$F$1030, 6, 0)</f>
        <v>955</v>
      </c>
      <c r="G577" s="3" t="str">
        <f>_xlfn.IFNA(VLOOKUP(B577, '[1]Landfall Stats'!A:G, 7, 0), "No LF")</f>
        <v>No LF</v>
      </c>
      <c r="H577" s="3" t="str">
        <f>_xlfn.IFNA(VLOOKUP(B577, '[1]Landfall Stats'!A:G, 5, 0), "No LF")</f>
        <v>No LF</v>
      </c>
      <c r="I577" s="3" t="str">
        <f>_xlfn.IFNA(VLOOKUP(B577, '[1]Landfall Stats'!A:G, 6, 0), "No LF")</f>
        <v>No LF</v>
      </c>
      <c r="J577" s="4" t="s">
        <v>995</v>
      </c>
      <c r="K577" s="3">
        <v>0</v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2.75" customHeight="1" x14ac:dyDescent="0.2">
      <c r="A578" s="3">
        <v>2014</v>
      </c>
      <c r="B578" s="3" t="s">
        <v>996</v>
      </c>
      <c r="C578" s="3" t="str">
        <f>VLOOKUP($B578, '[1]HURDAT Query'!$A$1:$F$1030, 3, 0)</f>
        <v>FAY</v>
      </c>
      <c r="D578" s="3">
        <f>VLOOKUP($B578, '[1]HURDAT Query'!$A$1:$F$1030, 4, 0)</f>
        <v>1</v>
      </c>
      <c r="E578" s="3">
        <f>VLOOKUP($B578, '[1]HURDAT Query'!$A$1:$F$1030, 5, 0)</f>
        <v>70</v>
      </c>
      <c r="F578" s="3">
        <f>VLOOKUP($B578, '[1]HURDAT Query'!$A$1:$F$1030, 6, 0)</f>
        <v>983</v>
      </c>
      <c r="G578" s="3" t="str">
        <f>_xlfn.IFNA(VLOOKUP(B578, '[1]Landfall Stats'!A:G, 7, 0), "No LF")</f>
        <v>No LF</v>
      </c>
      <c r="H578" s="3" t="str">
        <f>_xlfn.IFNA(VLOOKUP(B578, '[1]Landfall Stats'!A:G, 5, 0), "No LF")</f>
        <v>No LF</v>
      </c>
      <c r="I578" s="3" t="str">
        <f>_xlfn.IFNA(VLOOKUP(B578, '[1]Landfall Stats'!A:G, 6, 0), "No LF")</f>
        <v>No LF</v>
      </c>
      <c r="J578" s="4" t="s">
        <v>997</v>
      </c>
      <c r="K578" s="3">
        <v>0</v>
      </c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2.75" customHeight="1" x14ac:dyDescent="0.2">
      <c r="A579" s="3">
        <v>2014</v>
      </c>
      <c r="B579" s="3" t="s">
        <v>998</v>
      </c>
      <c r="C579" s="3" t="str">
        <f>VLOOKUP($B579, '[1]HURDAT Query'!$A$1:$F$1030, 3, 0)</f>
        <v>GONZALO</v>
      </c>
      <c r="D579" s="3">
        <f>VLOOKUP($B579, '[1]HURDAT Query'!$A$1:$F$1030, 4, 0)</f>
        <v>4</v>
      </c>
      <c r="E579" s="3">
        <f>VLOOKUP($B579, '[1]HURDAT Query'!$A$1:$F$1030, 5, 0)</f>
        <v>125</v>
      </c>
      <c r="F579" s="3">
        <f>VLOOKUP($B579, '[1]HURDAT Query'!$A$1:$F$1030, 6, 0)</f>
        <v>940</v>
      </c>
      <c r="G579" s="3" t="str">
        <f>_xlfn.IFNA(VLOOKUP(B579, '[1]Landfall Stats'!A:G, 7, 0), "No LF")</f>
        <v>No LF</v>
      </c>
      <c r="H579" s="3" t="str">
        <f>_xlfn.IFNA(VLOOKUP(B579, '[1]Landfall Stats'!A:G, 5, 0), "No LF")</f>
        <v>No LF</v>
      </c>
      <c r="I579" s="3" t="str">
        <f>_xlfn.IFNA(VLOOKUP(B579, '[1]Landfall Stats'!A:G, 6, 0), "No LF")</f>
        <v>No LF</v>
      </c>
      <c r="J579" s="4" t="s">
        <v>999</v>
      </c>
      <c r="K579" s="3">
        <v>0</v>
      </c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2.75" customHeight="1" x14ac:dyDescent="0.2">
      <c r="A580" s="3">
        <v>2014</v>
      </c>
      <c r="B580" s="3" t="s">
        <v>1000</v>
      </c>
      <c r="C580" s="3" t="str">
        <f>VLOOKUP($B580, '[1]HURDAT Query'!$A$1:$F$1030, 3, 0)</f>
        <v>HANNA</v>
      </c>
      <c r="D580" s="3" t="str">
        <f>VLOOKUP($B580, '[1]HURDAT Query'!$A$1:$F$1030, 4, 0)</f>
        <v>NA</v>
      </c>
      <c r="E580" s="3" t="str">
        <f>VLOOKUP($B580, '[1]HURDAT Query'!$A$1:$F$1030, 5, 0)</f>
        <v>NA</v>
      </c>
      <c r="F580" s="3" t="str">
        <f>VLOOKUP($B580, '[1]HURDAT Query'!$A$1:$F$1030, 6, 0)</f>
        <v>NA</v>
      </c>
      <c r="G580" s="3" t="str">
        <f>_xlfn.IFNA(VLOOKUP(B580, '[1]Landfall Stats'!A:G, 7, 0), "No LF")</f>
        <v>No LF</v>
      </c>
      <c r="H580" s="3" t="str">
        <f>_xlfn.IFNA(VLOOKUP(B580, '[1]Landfall Stats'!A:G, 5, 0), "No LF")</f>
        <v>No LF</v>
      </c>
      <c r="I580" s="3" t="str">
        <f>_xlfn.IFNA(VLOOKUP(B580, '[1]Landfall Stats'!A:G, 6, 0), "No LF")</f>
        <v>No LF</v>
      </c>
      <c r="J580" s="4" t="s">
        <v>1001</v>
      </c>
      <c r="K580" s="3">
        <v>0</v>
      </c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2.75" customHeight="1" x14ac:dyDescent="0.2">
      <c r="A581" s="3">
        <v>2015</v>
      </c>
      <c r="B581" s="3" t="s">
        <v>1002</v>
      </c>
      <c r="C581" s="3" t="str">
        <f>VLOOKUP($B581, '[1]HURDAT Query'!$A$1:$F$1030, 3, 0)</f>
        <v>ANA</v>
      </c>
      <c r="D581" s="3" t="str">
        <f>VLOOKUP($B581, '[1]HURDAT Query'!$A$1:$F$1030, 4, 0)</f>
        <v>NA</v>
      </c>
      <c r="E581" s="3" t="str">
        <f>VLOOKUP($B581, '[1]HURDAT Query'!$A$1:$F$1030, 5, 0)</f>
        <v>NA</v>
      </c>
      <c r="F581" s="3" t="str">
        <f>VLOOKUP($B581, '[1]HURDAT Query'!$A$1:$F$1030, 6, 0)</f>
        <v>NA</v>
      </c>
      <c r="G581" s="3" t="str">
        <f>_xlfn.IFNA(VLOOKUP(B581, '[1]Landfall Stats'!A:G, 7, 0), "No LF")</f>
        <v>NA</v>
      </c>
      <c r="H581" s="3">
        <f>_xlfn.IFNA(VLOOKUP(B581, '[1]Landfall Stats'!A:G, 5, 0), "No LF")</f>
        <v>40</v>
      </c>
      <c r="I581" s="3">
        <f>_xlfn.IFNA(VLOOKUP(B581, '[1]Landfall Stats'!A:G, 6, 0), "No LF")</f>
        <v>1002</v>
      </c>
      <c r="J581" s="4" t="s">
        <v>1003</v>
      </c>
      <c r="K581" s="3">
        <v>1</v>
      </c>
      <c r="L581" s="3"/>
      <c r="M581" s="3"/>
      <c r="N581" s="3"/>
      <c r="O581" s="3"/>
      <c r="P581" s="3"/>
      <c r="Q581" s="3"/>
      <c r="R581" s="3">
        <v>1</v>
      </c>
      <c r="S581" s="3" t="s">
        <v>290</v>
      </c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2.75" customHeight="1" x14ac:dyDescent="0.2">
      <c r="A582" s="3">
        <v>2015</v>
      </c>
      <c r="B582" s="3" t="s">
        <v>1004</v>
      </c>
      <c r="C582" s="3" t="str">
        <f>VLOOKUP($B582, '[1]HURDAT Query'!$A$1:$F$1030, 3, 0)</f>
        <v>BILL</v>
      </c>
      <c r="D582" s="3" t="str">
        <f>VLOOKUP($B582, '[1]HURDAT Query'!$A$1:$F$1030, 4, 0)</f>
        <v>NA</v>
      </c>
      <c r="E582" s="3" t="str">
        <f>VLOOKUP($B582, '[1]HURDAT Query'!$A$1:$F$1030, 5, 0)</f>
        <v>NA</v>
      </c>
      <c r="F582" s="3" t="str">
        <f>VLOOKUP($B582, '[1]HURDAT Query'!$A$1:$F$1030, 6, 0)</f>
        <v>NA</v>
      </c>
      <c r="G582" s="3" t="str">
        <f>_xlfn.IFNA(VLOOKUP(B582, '[1]Landfall Stats'!A:G, 7, 0), "No LF")</f>
        <v>NA</v>
      </c>
      <c r="H582" s="3">
        <f>_xlfn.IFNA(VLOOKUP(B582, '[1]Landfall Stats'!A:G, 5, 0), "No LF")</f>
        <v>50</v>
      </c>
      <c r="I582" s="3">
        <f>_xlfn.IFNA(VLOOKUP(B582, '[1]Landfall Stats'!A:G, 6, 0), "No LF")</f>
        <v>997</v>
      </c>
      <c r="J582" s="4" t="s">
        <v>1005</v>
      </c>
      <c r="K582" s="3">
        <v>2</v>
      </c>
      <c r="L582" s="3"/>
      <c r="M582" s="3"/>
      <c r="N582" s="3"/>
      <c r="O582" s="3"/>
      <c r="P582" s="3"/>
      <c r="Q582" s="3"/>
      <c r="R582" s="3"/>
      <c r="S582" s="3"/>
      <c r="T582" s="3">
        <v>2</v>
      </c>
      <c r="U582" s="3" t="s">
        <v>1006</v>
      </c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2.75" customHeight="1" x14ac:dyDescent="0.2">
      <c r="A583" s="3">
        <v>2015</v>
      </c>
      <c r="B583" s="3" t="s">
        <v>1007</v>
      </c>
      <c r="C583" s="3" t="str">
        <f>VLOOKUP($B583, '[1]HURDAT Query'!$A$1:$F$1030, 3, 0)</f>
        <v>CLAUDETTE</v>
      </c>
      <c r="D583" s="3" t="str">
        <f>VLOOKUP($B583, '[1]HURDAT Query'!$A$1:$F$1030, 4, 0)</f>
        <v>NA</v>
      </c>
      <c r="E583" s="3" t="str">
        <f>VLOOKUP($B583, '[1]HURDAT Query'!$A$1:$F$1030, 5, 0)</f>
        <v>NA</v>
      </c>
      <c r="F583" s="3" t="str">
        <f>VLOOKUP($B583, '[1]HURDAT Query'!$A$1:$F$1030, 6, 0)</f>
        <v>NA</v>
      </c>
      <c r="G583" s="3" t="str">
        <f>_xlfn.IFNA(VLOOKUP(B583, '[1]Landfall Stats'!A:G, 7, 0), "No LF")</f>
        <v>No LF</v>
      </c>
      <c r="H583" s="3" t="str">
        <f>_xlfn.IFNA(VLOOKUP(B583, '[1]Landfall Stats'!A:G, 5, 0), "No LF")</f>
        <v>No LF</v>
      </c>
      <c r="I583" s="3" t="str">
        <f>_xlfn.IFNA(VLOOKUP(B583, '[1]Landfall Stats'!A:G, 6, 0), "No LF")</f>
        <v>No LF</v>
      </c>
      <c r="J583" s="4" t="s">
        <v>1008</v>
      </c>
      <c r="K583" s="3">
        <v>0</v>
      </c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2.75" customHeight="1" x14ac:dyDescent="0.2">
      <c r="A584" s="3">
        <v>2015</v>
      </c>
      <c r="B584" s="3" t="s">
        <v>1009</v>
      </c>
      <c r="C584" s="3" t="str">
        <f>VLOOKUP($B584, '[1]HURDAT Query'!$A$1:$F$1030, 3, 0)</f>
        <v>DANNY</v>
      </c>
      <c r="D584" s="3">
        <f>VLOOKUP($B584, '[1]HURDAT Query'!$A$1:$F$1030, 4, 0)</f>
        <v>3</v>
      </c>
      <c r="E584" s="3">
        <f>VLOOKUP($B584, '[1]HURDAT Query'!$A$1:$F$1030, 5, 0)</f>
        <v>110</v>
      </c>
      <c r="F584" s="3">
        <f>VLOOKUP($B584, '[1]HURDAT Query'!$A$1:$F$1030, 6, 0)</f>
        <v>960</v>
      </c>
      <c r="G584" s="3" t="str">
        <f>_xlfn.IFNA(VLOOKUP(B584, '[1]Landfall Stats'!A:G, 7, 0), "No LF")</f>
        <v>No LF</v>
      </c>
      <c r="H584" s="3" t="str">
        <f>_xlfn.IFNA(VLOOKUP(B584, '[1]Landfall Stats'!A:G, 5, 0), "No LF")</f>
        <v>No LF</v>
      </c>
      <c r="I584" s="3" t="str">
        <f>_xlfn.IFNA(VLOOKUP(B584, '[1]Landfall Stats'!A:G, 6, 0), "No LF")</f>
        <v>No LF</v>
      </c>
      <c r="J584" s="4" t="s">
        <v>1010</v>
      </c>
      <c r="K584" s="3">
        <v>0</v>
      </c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2.75" customHeight="1" x14ac:dyDescent="0.2">
      <c r="A585" s="3">
        <v>2015</v>
      </c>
      <c r="B585" s="3" t="s">
        <v>1011</v>
      </c>
      <c r="C585" s="3" t="str">
        <f>VLOOKUP($B585, '[1]HURDAT Query'!$A$1:$F$1030, 3, 0)</f>
        <v>ERIKA</v>
      </c>
      <c r="D585" s="3" t="str">
        <f>VLOOKUP($B585, '[1]HURDAT Query'!$A$1:$F$1030, 4, 0)</f>
        <v>NA</v>
      </c>
      <c r="E585" s="3" t="str">
        <f>VLOOKUP($B585, '[1]HURDAT Query'!$A$1:$F$1030, 5, 0)</f>
        <v>NA</v>
      </c>
      <c r="F585" s="3" t="str">
        <f>VLOOKUP($B585, '[1]HURDAT Query'!$A$1:$F$1030, 6, 0)</f>
        <v>NA</v>
      </c>
      <c r="G585" s="3" t="str">
        <f>_xlfn.IFNA(VLOOKUP(B585, '[1]Landfall Stats'!A:G, 7, 0), "No LF")</f>
        <v>No LF</v>
      </c>
      <c r="H585" s="3" t="str">
        <f>_xlfn.IFNA(VLOOKUP(B585, '[1]Landfall Stats'!A:G, 5, 0), "No LF")</f>
        <v>No LF</v>
      </c>
      <c r="I585" s="3" t="str">
        <f>_xlfn.IFNA(VLOOKUP(B585, '[1]Landfall Stats'!A:G, 6, 0), "No LF")</f>
        <v>No LF</v>
      </c>
      <c r="J585" s="4" t="s">
        <v>1012</v>
      </c>
      <c r="K585" s="3">
        <v>0</v>
      </c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2.75" customHeight="1" x14ac:dyDescent="0.2">
      <c r="A586" s="3">
        <v>2015</v>
      </c>
      <c r="B586" s="3" t="s">
        <v>1013</v>
      </c>
      <c r="C586" s="3" t="str">
        <f>VLOOKUP($B586, '[1]HURDAT Query'!$A$1:$F$1030, 3, 0)</f>
        <v>FRED</v>
      </c>
      <c r="D586" s="3">
        <f>VLOOKUP($B586, '[1]HURDAT Query'!$A$1:$F$1030, 4, 0)</f>
        <v>1</v>
      </c>
      <c r="E586" s="3">
        <f>VLOOKUP($B586, '[1]HURDAT Query'!$A$1:$F$1030, 5, 0)</f>
        <v>75</v>
      </c>
      <c r="F586" s="3">
        <f>VLOOKUP($B586, '[1]HURDAT Query'!$A$1:$F$1030, 6, 0)</f>
        <v>986</v>
      </c>
      <c r="G586" s="3" t="str">
        <f>_xlfn.IFNA(VLOOKUP(B586, '[1]Landfall Stats'!A:G, 7, 0), "No LF")</f>
        <v>No LF</v>
      </c>
      <c r="H586" s="3" t="str">
        <f>_xlfn.IFNA(VLOOKUP(B586, '[1]Landfall Stats'!A:G, 5, 0), "No LF")</f>
        <v>No LF</v>
      </c>
      <c r="I586" s="3" t="str">
        <f>_xlfn.IFNA(VLOOKUP(B586, '[1]Landfall Stats'!A:G, 6, 0), "No LF")</f>
        <v>No LF</v>
      </c>
      <c r="J586" s="4" t="s">
        <v>1014</v>
      </c>
      <c r="K586" s="3">
        <v>0</v>
      </c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2.75" customHeight="1" x14ac:dyDescent="0.2">
      <c r="A587" s="3">
        <v>2015</v>
      </c>
      <c r="B587" s="3" t="s">
        <v>1015</v>
      </c>
      <c r="C587" s="3" t="str">
        <f>VLOOKUP($B587, '[1]HURDAT Query'!$A$1:$F$1030, 3, 0)</f>
        <v>GRACE</v>
      </c>
      <c r="D587" s="3" t="str">
        <f>VLOOKUP($B587, '[1]HURDAT Query'!$A$1:$F$1030, 4, 0)</f>
        <v>NA</v>
      </c>
      <c r="E587" s="3" t="str">
        <f>VLOOKUP($B587, '[1]HURDAT Query'!$A$1:$F$1030, 5, 0)</f>
        <v>NA</v>
      </c>
      <c r="F587" s="3" t="str">
        <f>VLOOKUP($B587, '[1]HURDAT Query'!$A$1:$F$1030, 6, 0)</f>
        <v>NA</v>
      </c>
      <c r="G587" s="3" t="str">
        <f>_xlfn.IFNA(VLOOKUP(B587, '[1]Landfall Stats'!A:G, 7, 0), "No LF")</f>
        <v>No LF</v>
      </c>
      <c r="H587" s="3" t="str">
        <f>_xlfn.IFNA(VLOOKUP(B587, '[1]Landfall Stats'!A:G, 5, 0), "No LF")</f>
        <v>No LF</v>
      </c>
      <c r="I587" s="3" t="str">
        <f>_xlfn.IFNA(VLOOKUP(B587, '[1]Landfall Stats'!A:G, 6, 0), "No LF")</f>
        <v>No LF</v>
      </c>
      <c r="J587" s="4" t="s">
        <v>1016</v>
      </c>
      <c r="K587" s="3">
        <v>0</v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12.75" customHeight="1" x14ac:dyDescent="0.2">
      <c r="A588" s="3">
        <v>2015</v>
      </c>
      <c r="B588" s="3" t="s">
        <v>1017</v>
      </c>
      <c r="C588" s="3" t="str">
        <f>VLOOKUP($B588, '[1]HURDAT Query'!$A$1:$F$1030, 3, 0)</f>
        <v>HENRI</v>
      </c>
      <c r="D588" s="3" t="str">
        <f>VLOOKUP($B588, '[1]HURDAT Query'!$A$1:$F$1030, 4, 0)</f>
        <v>NA</v>
      </c>
      <c r="E588" s="3" t="str">
        <f>VLOOKUP($B588, '[1]HURDAT Query'!$A$1:$F$1030, 5, 0)</f>
        <v>NA</v>
      </c>
      <c r="F588" s="3" t="str">
        <f>VLOOKUP($B588, '[1]HURDAT Query'!$A$1:$F$1030, 6, 0)</f>
        <v>NA</v>
      </c>
      <c r="G588" s="3" t="str">
        <f>_xlfn.IFNA(VLOOKUP(B588, '[1]Landfall Stats'!A:G, 7, 0), "No LF")</f>
        <v>No LF</v>
      </c>
      <c r="H588" s="3" t="str">
        <f>_xlfn.IFNA(VLOOKUP(B588, '[1]Landfall Stats'!A:G, 5, 0), "No LF")</f>
        <v>No LF</v>
      </c>
      <c r="I588" s="3" t="str">
        <f>_xlfn.IFNA(VLOOKUP(B588, '[1]Landfall Stats'!A:G, 6, 0), "No LF")</f>
        <v>No LF</v>
      </c>
      <c r="J588" s="4" t="s">
        <v>1018</v>
      </c>
      <c r="K588" s="3">
        <v>0</v>
      </c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2.75" customHeight="1" x14ac:dyDescent="0.2">
      <c r="A589" s="3">
        <v>2015</v>
      </c>
      <c r="B589" s="3" t="s">
        <v>1019</v>
      </c>
      <c r="C589" s="3" t="str">
        <f>VLOOKUP($B589, '[1]HURDAT Query'!$A$1:$F$1030, 3, 0)</f>
        <v>NINE</v>
      </c>
      <c r="D589" s="3" t="str">
        <f>VLOOKUP($B589, '[1]HURDAT Query'!$A$1:$F$1030, 4, 0)</f>
        <v>NA</v>
      </c>
      <c r="E589" s="3" t="str">
        <f>VLOOKUP($B589, '[1]HURDAT Query'!$A$1:$F$1030, 5, 0)</f>
        <v>NA</v>
      </c>
      <c r="F589" s="3" t="str">
        <f>VLOOKUP($B589, '[1]HURDAT Query'!$A$1:$F$1030, 6, 0)</f>
        <v>NA</v>
      </c>
      <c r="G589" s="3" t="str">
        <f>_xlfn.IFNA(VLOOKUP(B589, '[1]Landfall Stats'!A:G, 7, 0), "No LF")</f>
        <v>No LF</v>
      </c>
      <c r="H589" s="3" t="str">
        <f>_xlfn.IFNA(VLOOKUP(B589, '[1]Landfall Stats'!A:G, 5, 0), "No LF")</f>
        <v>No LF</v>
      </c>
      <c r="I589" s="3" t="str">
        <f>_xlfn.IFNA(VLOOKUP(B589, '[1]Landfall Stats'!A:G, 6, 0), "No LF")</f>
        <v>No LF</v>
      </c>
      <c r="J589" s="4" t="s">
        <v>1020</v>
      </c>
      <c r="K589" s="3">
        <v>0</v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2.75" customHeight="1" x14ac:dyDescent="0.2">
      <c r="A590" s="3">
        <v>2015</v>
      </c>
      <c r="B590" s="3" t="s">
        <v>1021</v>
      </c>
      <c r="C590" s="3" t="str">
        <f>VLOOKUP($B590, '[1]HURDAT Query'!$A$1:$F$1030, 3, 0)</f>
        <v>IDA</v>
      </c>
      <c r="D590" s="3" t="str">
        <f>VLOOKUP($B590, '[1]HURDAT Query'!$A$1:$F$1030, 4, 0)</f>
        <v>NA</v>
      </c>
      <c r="E590" s="3" t="str">
        <f>VLOOKUP($B590, '[1]HURDAT Query'!$A$1:$F$1030, 5, 0)</f>
        <v>NA</v>
      </c>
      <c r="F590" s="3" t="str">
        <f>VLOOKUP($B590, '[1]HURDAT Query'!$A$1:$F$1030, 6, 0)</f>
        <v>NA</v>
      </c>
      <c r="G590" s="3" t="str">
        <f>_xlfn.IFNA(VLOOKUP(B590, '[1]Landfall Stats'!A:G, 7, 0), "No LF")</f>
        <v>No LF</v>
      </c>
      <c r="H590" s="3" t="str">
        <f>_xlfn.IFNA(VLOOKUP(B590, '[1]Landfall Stats'!A:G, 5, 0), "No LF")</f>
        <v>No LF</v>
      </c>
      <c r="I590" s="3" t="str">
        <f>_xlfn.IFNA(VLOOKUP(B590, '[1]Landfall Stats'!A:G, 6, 0), "No LF")</f>
        <v>No LF</v>
      </c>
      <c r="J590" s="4" t="s">
        <v>1022</v>
      </c>
      <c r="K590" s="3">
        <v>0</v>
      </c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2.75" customHeight="1" x14ac:dyDescent="0.2">
      <c r="A591" s="3">
        <v>2015</v>
      </c>
      <c r="B591" s="3" t="s">
        <v>1023</v>
      </c>
      <c r="C591" s="3" t="str">
        <f>VLOOKUP($B591, '[1]HURDAT Query'!$A$1:$F$1030, 3, 0)</f>
        <v>JOAQUIN</v>
      </c>
      <c r="D591" s="3">
        <f>VLOOKUP($B591, '[1]HURDAT Query'!$A$1:$F$1030, 4, 0)</f>
        <v>4</v>
      </c>
      <c r="E591" s="3">
        <f>VLOOKUP($B591, '[1]HURDAT Query'!$A$1:$F$1030, 5, 0)</f>
        <v>135</v>
      </c>
      <c r="F591" s="3">
        <f>VLOOKUP($B591, '[1]HURDAT Query'!$A$1:$F$1030, 6, 0)</f>
        <v>931</v>
      </c>
      <c r="G591" s="3" t="str">
        <f>_xlfn.IFNA(VLOOKUP(B591, '[1]Landfall Stats'!A:G, 7, 0), "No LF")</f>
        <v>No LF</v>
      </c>
      <c r="H591" s="3" t="str">
        <f>_xlfn.IFNA(VLOOKUP(B591, '[1]Landfall Stats'!A:G, 5, 0), "No LF")</f>
        <v>No LF</v>
      </c>
      <c r="I591" s="3" t="str">
        <f>_xlfn.IFNA(VLOOKUP(B591, '[1]Landfall Stats'!A:G, 6, 0), "No LF")</f>
        <v>No LF</v>
      </c>
      <c r="J591" s="4" t="s">
        <v>1024</v>
      </c>
      <c r="K591" s="3">
        <v>0</v>
      </c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2.75" customHeight="1" x14ac:dyDescent="0.2">
      <c r="A592" s="3">
        <v>2015</v>
      </c>
      <c r="B592" s="3" t="s">
        <v>1025</v>
      </c>
      <c r="C592" s="3" t="str">
        <f>VLOOKUP($B592, '[1]HURDAT Query'!$A$1:$F$1030, 3, 0)</f>
        <v>KATE</v>
      </c>
      <c r="D592" s="3">
        <f>VLOOKUP($B592, '[1]HURDAT Query'!$A$1:$F$1030, 4, 0)</f>
        <v>1</v>
      </c>
      <c r="E592" s="3">
        <f>VLOOKUP($B592, '[1]HURDAT Query'!$A$1:$F$1030, 5, 0)</f>
        <v>75</v>
      </c>
      <c r="F592" s="3">
        <f>VLOOKUP($B592, '[1]HURDAT Query'!$A$1:$F$1030, 6, 0)</f>
        <v>980</v>
      </c>
      <c r="G592" s="3" t="str">
        <f>_xlfn.IFNA(VLOOKUP(B592, '[1]Landfall Stats'!A:G, 7, 0), "No LF")</f>
        <v>No LF</v>
      </c>
      <c r="H592" s="3" t="str">
        <f>_xlfn.IFNA(VLOOKUP(B592, '[1]Landfall Stats'!A:G, 5, 0), "No LF")</f>
        <v>No LF</v>
      </c>
      <c r="I592" s="3" t="str">
        <f>_xlfn.IFNA(VLOOKUP(B592, '[1]Landfall Stats'!A:G, 6, 0), "No LF")</f>
        <v>No LF</v>
      </c>
      <c r="J592" s="4" t="s">
        <v>1026</v>
      </c>
      <c r="K592" s="3">
        <v>0</v>
      </c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2.75" customHeight="1" x14ac:dyDescent="0.2">
      <c r="A593" s="3">
        <v>2016</v>
      </c>
      <c r="B593" s="3" t="s">
        <v>1027</v>
      </c>
      <c r="C593" s="3" t="str">
        <f>VLOOKUP($B593, '[1]HURDAT Query'!$A$1:$F$1030, 3, 0)</f>
        <v>ALEX</v>
      </c>
      <c r="D593" s="3">
        <f>VLOOKUP($B593, '[1]HURDAT Query'!$A$1:$F$1030, 4, 0)</f>
        <v>1</v>
      </c>
      <c r="E593" s="3">
        <f>VLOOKUP($B593, '[1]HURDAT Query'!$A$1:$F$1030, 5, 0)</f>
        <v>75</v>
      </c>
      <c r="F593" s="3">
        <f>VLOOKUP($B593, '[1]HURDAT Query'!$A$1:$F$1030, 6, 0)</f>
        <v>981</v>
      </c>
      <c r="G593" s="3" t="str">
        <f>_xlfn.IFNA(VLOOKUP(B593, '[1]Landfall Stats'!A:G, 7, 0), "No LF")</f>
        <v>No LF</v>
      </c>
      <c r="H593" s="3" t="str">
        <f>_xlfn.IFNA(VLOOKUP(B593, '[1]Landfall Stats'!A:G, 5, 0), "No LF")</f>
        <v>No LF</v>
      </c>
      <c r="I593" s="3" t="str">
        <f>_xlfn.IFNA(VLOOKUP(B593, '[1]Landfall Stats'!A:G, 6, 0), "No LF")</f>
        <v>No LF</v>
      </c>
      <c r="J593" s="4" t="s">
        <v>1028</v>
      </c>
      <c r="K593" s="3">
        <v>0</v>
      </c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2.75" customHeight="1" x14ac:dyDescent="0.2">
      <c r="A594" s="3">
        <v>2016</v>
      </c>
      <c r="B594" s="3" t="s">
        <v>1029</v>
      </c>
      <c r="C594" s="3" t="str">
        <f>VLOOKUP($B594, '[1]HURDAT Query'!$A$1:$F$1030, 3, 0)</f>
        <v>BONNIE</v>
      </c>
      <c r="D594" s="3" t="str">
        <f>VLOOKUP($B594, '[1]HURDAT Query'!$A$1:$F$1030, 4, 0)</f>
        <v>NA</v>
      </c>
      <c r="E594" s="3" t="str">
        <f>VLOOKUP($B594, '[1]HURDAT Query'!$A$1:$F$1030, 5, 0)</f>
        <v>NA</v>
      </c>
      <c r="F594" s="3" t="str">
        <f>VLOOKUP($B594, '[1]HURDAT Query'!$A$1:$F$1030, 6, 0)</f>
        <v>NA</v>
      </c>
      <c r="G594" s="3" t="str">
        <f>_xlfn.IFNA(VLOOKUP(B594, '[1]Landfall Stats'!A:G, 7, 0), "No LF")</f>
        <v>No LF</v>
      </c>
      <c r="H594" s="3" t="str">
        <f>_xlfn.IFNA(VLOOKUP(B594, '[1]Landfall Stats'!A:G, 5, 0), "No LF")</f>
        <v>No LF</v>
      </c>
      <c r="I594" s="3" t="str">
        <f>_xlfn.IFNA(VLOOKUP(B594, '[1]Landfall Stats'!A:G, 6, 0), "No LF")</f>
        <v>No LF</v>
      </c>
      <c r="J594" s="4" t="s">
        <v>1030</v>
      </c>
      <c r="K594" s="3">
        <v>1</v>
      </c>
      <c r="L594" s="3"/>
      <c r="M594" s="3"/>
      <c r="N594" s="3">
        <v>1</v>
      </c>
      <c r="O594" s="3" t="s">
        <v>290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2.75" customHeight="1" x14ac:dyDescent="0.2">
      <c r="A595" s="3">
        <v>2016</v>
      </c>
      <c r="B595" s="3" t="s">
        <v>1031</v>
      </c>
      <c r="C595" s="3" t="str">
        <f>VLOOKUP($B595, '[1]HURDAT Query'!$A$1:$F$1030, 3, 0)</f>
        <v>COLIN</v>
      </c>
      <c r="D595" s="3" t="str">
        <f>VLOOKUP($B595, '[1]HURDAT Query'!$A$1:$F$1030, 4, 0)</f>
        <v>NA</v>
      </c>
      <c r="E595" s="3" t="str">
        <f>VLOOKUP($B595, '[1]HURDAT Query'!$A$1:$F$1030, 5, 0)</f>
        <v>NA</v>
      </c>
      <c r="F595" s="3" t="str">
        <f>VLOOKUP($B595, '[1]HURDAT Query'!$A$1:$F$1030, 6, 0)</f>
        <v>NA</v>
      </c>
      <c r="G595" s="3" t="str">
        <f>_xlfn.IFNA(VLOOKUP(B595, '[1]Landfall Stats'!A:G, 7, 0), "No LF")</f>
        <v>No LF</v>
      </c>
      <c r="H595" s="3" t="str">
        <f>_xlfn.IFNA(VLOOKUP(B595, '[1]Landfall Stats'!A:G, 5, 0), "No LF")</f>
        <v>No LF</v>
      </c>
      <c r="I595" s="3" t="str">
        <f>_xlfn.IFNA(VLOOKUP(B595, '[1]Landfall Stats'!A:G, 6, 0), "No LF")</f>
        <v>No LF</v>
      </c>
      <c r="J595" s="4" t="s">
        <v>1032</v>
      </c>
      <c r="K595" s="3">
        <v>0</v>
      </c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2.75" customHeight="1" x14ac:dyDescent="0.2">
      <c r="A596" s="3">
        <v>2016</v>
      </c>
      <c r="B596" s="3" t="s">
        <v>1033</v>
      </c>
      <c r="C596" s="3" t="str">
        <f>VLOOKUP($B596, '[1]HURDAT Query'!$A$1:$F$1030, 3, 0)</f>
        <v>DANIELLE</v>
      </c>
      <c r="D596" s="3" t="str">
        <f>VLOOKUP($B596, '[1]HURDAT Query'!$A$1:$F$1030, 4, 0)</f>
        <v>NA</v>
      </c>
      <c r="E596" s="3" t="str">
        <f>VLOOKUP($B596, '[1]HURDAT Query'!$A$1:$F$1030, 5, 0)</f>
        <v>NA</v>
      </c>
      <c r="F596" s="3" t="str">
        <f>VLOOKUP($B596, '[1]HURDAT Query'!$A$1:$F$1030, 6, 0)</f>
        <v>NA</v>
      </c>
      <c r="G596" s="3" t="str">
        <f>_xlfn.IFNA(VLOOKUP(B596, '[1]Landfall Stats'!A:G, 7, 0), "No LF")</f>
        <v>No LF</v>
      </c>
      <c r="H596" s="3" t="str">
        <f>_xlfn.IFNA(VLOOKUP(B596, '[1]Landfall Stats'!A:G, 5, 0), "No LF")</f>
        <v>No LF</v>
      </c>
      <c r="I596" s="3" t="str">
        <f>_xlfn.IFNA(VLOOKUP(B596, '[1]Landfall Stats'!A:G, 6, 0), "No LF")</f>
        <v>No LF</v>
      </c>
      <c r="J596" s="4" t="s">
        <v>1034</v>
      </c>
      <c r="K596" s="3">
        <v>0</v>
      </c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2.75" customHeight="1" x14ac:dyDescent="0.2">
      <c r="A597" s="3">
        <v>2016</v>
      </c>
      <c r="B597" s="3" t="s">
        <v>1035</v>
      </c>
      <c r="C597" s="3" t="str">
        <f>VLOOKUP($B597, '[1]HURDAT Query'!$A$1:$F$1030, 3, 0)</f>
        <v>EARL</v>
      </c>
      <c r="D597" s="3">
        <f>VLOOKUP($B597, '[1]HURDAT Query'!$A$1:$F$1030, 4, 0)</f>
        <v>1</v>
      </c>
      <c r="E597" s="3">
        <f>VLOOKUP($B597, '[1]HURDAT Query'!$A$1:$F$1030, 5, 0)</f>
        <v>75</v>
      </c>
      <c r="F597" s="3">
        <f>VLOOKUP($B597, '[1]HURDAT Query'!$A$1:$F$1030, 6, 0)</f>
        <v>979</v>
      </c>
      <c r="G597" s="3" t="str">
        <f>_xlfn.IFNA(VLOOKUP(B597, '[1]Landfall Stats'!A:G, 7, 0), "No LF")</f>
        <v>No LF</v>
      </c>
      <c r="H597" s="3" t="str">
        <f>_xlfn.IFNA(VLOOKUP(B597, '[1]Landfall Stats'!A:G, 5, 0), "No LF")</f>
        <v>No LF</v>
      </c>
      <c r="I597" s="3" t="str">
        <f>_xlfn.IFNA(VLOOKUP(B597, '[1]Landfall Stats'!A:G, 6, 0), "No LF")</f>
        <v>No LF</v>
      </c>
      <c r="J597" s="4" t="s">
        <v>1036</v>
      </c>
      <c r="K597" s="3">
        <v>0</v>
      </c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2.75" customHeight="1" x14ac:dyDescent="0.2">
      <c r="A598" s="3">
        <v>2016</v>
      </c>
      <c r="B598" s="3" t="s">
        <v>1037</v>
      </c>
      <c r="C598" s="3" t="str">
        <f>VLOOKUP($B598, '[1]HURDAT Query'!$A$1:$F$1030, 3, 0)</f>
        <v>FIONA</v>
      </c>
      <c r="D598" s="3" t="str">
        <f>VLOOKUP($B598, '[1]HURDAT Query'!$A$1:$F$1030, 4, 0)</f>
        <v>NA</v>
      </c>
      <c r="E598" s="3" t="str">
        <f>VLOOKUP($B598, '[1]HURDAT Query'!$A$1:$F$1030, 5, 0)</f>
        <v>NA</v>
      </c>
      <c r="F598" s="3" t="str">
        <f>VLOOKUP($B598, '[1]HURDAT Query'!$A$1:$F$1030, 6, 0)</f>
        <v>NA</v>
      </c>
      <c r="G598" s="3" t="str">
        <f>_xlfn.IFNA(VLOOKUP(B598, '[1]Landfall Stats'!A:G, 7, 0), "No LF")</f>
        <v>No LF</v>
      </c>
      <c r="H598" s="3" t="str">
        <f>_xlfn.IFNA(VLOOKUP(B598, '[1]Landfall Stats'!A:G, 5, 0), "No LF")</f>
        <v>No LF</v>
      </c>
      <c r="I598" s="3" t="str">
        <f>_xlfn.IFNA(VLOOKUP(B598, '[1]Landfall Stats'!A:G, 6, 0), "No LF")</f>
        <v>No LF</v>
      </c>
      <c r="J598" s="4" t="s">
        <v>1038</v>
      </c>
      <c r="K598" s="3">
        <v>0</v>
      </c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2.75" customHeight="1" x14ac:dyDescent="0.2">
      <c r="A599" s="3">
        <v>2016</v>
      </c>
      <c r="B599" s="3" t="s">
        <v>1039</v>
      </c>
      <c r="C599" s="3" t="str">
        <f>VLOOKUP($B599, '[1]HURDAT Query'!$A$1:$F$1030, 3, 0)</f>
        <v>GASTON</v>
      </c>
      <c r="D599" s="3">
        <f>VLOOKUP($B599, '[1]HURDAT Query'!$A$1:$F$1030, 4, 0)</f>
        <v>3</v>
      </c>
      <c r="E599" s="3">
        <f>VLOOKUP($B599, '[1]HURDAT Query'!$A$1:$F$1030, 5, 0)</f>
        <v>105</v>
      </c>
      <c r="F599" s="3">
        <f>VLOOKUP($B599, '[1]HURDAT Query'!$A$1:$F$1030, 6, 0)</f>
        <v>955</v>
      </c>
      <c r="G599" s="3" t="str">
        <f>_xlfn.IFNA(VLOOKUP(B599, '[1]Landfall Stats'!A:G, 7, 0), "No LF")</f>
        <v>No LF</v>
      </c>
      <c r="H599" s="3" t="str">
        <f>_xlfn.IFNA(VLOOKUP(B599, '[1]Landfall Stats'!A:G, 5, 0), "No LF")</f>
        <v>No LF</v>
      </c>
      <c r="I599" s="3" t="str">
        <f>_xlfn.IFNA(VLOOKUP(B599, '[1]Landfall Stats'!A:G, 6, 0), "No LF")</f>
        <v>No LF</v>
      </c>
      <c r="J599" s="4" t="s">
        <v>1040</v>
      </c>
      <c r="K599" s="3">
        <v>0</v>
      </c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2.75" customHeight="1" x14ac:dyDescent="0.2">
      <c r="A600" s="3">
        <v>2016</v>
      </c>
      <c r="B600" s="3" t="s">
        <v>1041</v>
      </c>
      <c r="C600" s="3" t="str">
        <f>VLOOKUP($B600, '[1]HURDAT Query'!$A$1:$F$1030, 3, 0)</f>
        <v>EIGHT</v>
      </c>
      <c r="D600" s="3" t="str">
        <f>VLOOKUP($B600, '[1]HURDAT Query'!$A$1:$F$1030, 4, 0)</f>
        <v>NA</v>
      </c>
      <c r="E600" s="3" t="str">
        <f>VLOOKUP($B600, '[1]HURDAT Query'!$A$1:$F$1030, 5, 0)</f>
        <v>NA</v>
      </c>
      <c r="F600" s="3" t="str">
        <f>VLOOKUP($B600, '[1]HURDAT Query'!$A$1:$F$1030, 6, 0)</f>
        <v>NA</v>
      </c>
      <c r="G600" s="3" t="str">
        <f>_xlfn.IFNA(VLOOKUP(B600, '[1]Landfall Stats'!A:G, 7, 0), "No LF")</f>
        <v>No LF</v>
      </c>
      <c r="H600" s="3" t="str">
        <f>_xlfn.IFNA(VLOOKUP(B600, '[1]Landfall Stats'!A:G, 5, 0), "No LF")</f>
        <v>No LF</v>
      </c>
      <c r="I600" s="3" t="str">
        <f>_xlfn.IFNA(VLOOKUP(B600, '[1]Landfall Stats'!A:G, 6, 0), "No LF")</f>
        <v>No LF</v>
      </c>
      <c r="J600" s="4" t="s">
        <v>1042</v>
      </c>
      <c r="K600" s="3">
        <v>0</v>
      </c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2.75" customHeight="1" x14ac:dyDescent="0.2">
      <c r="A601" s="3">
        <v>2016</v>
      </c>
      <c r="B601" s="3" t="s">
        <v>1043</v>
      </c>
      <c r="C601" s="3" t="str">
        <f>VLOOKUP($B601, '[1]HURDAT Query'!$A$1:$F$1030, 3, 0)</f>
        <v>HERMINE</v>
      </c>
      <c r="D601" s="3">
        <f>VLOOKUP($B601, '[1]HURDAT Query'!$A$1:$F$1030, 4, 0)</f>
        <v>1</v>
      </c>
      <c r="E601" s="3">
        <f>VLOOKUP($B601, '[1]HURDAT Query'!$A$1:$F$1030, 5, 0)</f>
        <v>70</v>
      </c>
      <c r="F601" s="3">
        <f>VLOOKUP($B601, '[1]HURDAT Query'!$A$1:$F$1030, 6, 0)</f>
        <v>981</v>
      </c>
      <c r="G601" s="3">
        <f>_xlfn.IFNA(VLOOKUP(B601, '[1]Landfall Stats'!A:G, 7, 0), "No LF")</f>
        <v>1</v>
      </c>
      <c r="H601" s="3">
        <f>_xlfn.IFNA(VLOOKUP(B601, '[1]Landfall Stats'!A:G, 5, 0), "No LF")</f>
        <v>70</v>
      </c>
      <c r="I601" s="3">
        <f>_xlfn.IFNA(VLOOKUP(B601, '[1]Landfall Stats'!A:G, 6, 0), "No LF")</f>
        <v>981</v>
      </c>
      <c r="J601" s="4" t="s">
        <v>1044</v>
      </c>
      <c r="K601" s="3">
        <v>2</v>
      </c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>
        <v>1</v>
      </c>
      <c r="W601" s="3" t="s">
        <v>290</v>
      </c>
      <c r="X601" s="3">
        <v>1</v>
      </c>
      <c r="Y601" s="3" t="s">
        <v>51</v>
      </c>
      <c r="Z601" s="3"/>
      <c r="AA601" s="3"/>
      <c r="AB601" s="3"/>
      <c r="AC601" s="3"/>
      <c r="AD601" s="3"/>
      <c r="AE601" s="3"/>
    </row>
    <row r="602" spans="1:31" ht="12.75" customHeight="1" x14ac:dyDescent="0.2">
      <c r="A602" s="3">
        <v>2016</v>
      </c>
      <c r="B602" s="3" t="s">
        <v>1045</v>
      </c>
      <c r="C602" s="3" t="str">
        <f>VLOOKUP($B602, '[1]HURDAT Query'!$A$1:$F$1030, 3, 0)</f>
        <v>IAN</v>
      </c>
      <c r="D602" s="3" t="str">
        <f>VLOOKUP($B602, '[1]HURDAT Query'!$A$1:$F$1030, 4, 0)</f>
        <v>NA</v>
      </c>
      <c r="E602" s="3" t="str">
        <f>VLOOKUP($B602, '[1]HURDAT Query'!$A$1:$F$1030, 5, 0)</f>
        <v>NA</v>
      </c>
      <c r="F602" s="3" t="str">
        <f>VLOOKUP($B602, '[1]HURDAT Query'!$A$1:$F$1030, 6, 0)</f>
        <v>NA</v>
      </c>
      <c r="G602" s="3" t="str">
        <f>_xlfn.IFNA(VLOOKUP(B602, '[1]Landfall Stats'!A:G, 7, 0), "No LF")</f>
        <v>No LF</v>
      </c>
      <c r="H602" s="3" t="str">
        <f>_xlfn.IFNA(VLOOKUP(B602, '[1]Landfall Stats'!A:G, 5, 0), "No LF")</f>
        <v>No LF</v>
      </c>
      <c r="I602" s="3" t="str">
        <f>_xlfn.IFNA(VLOOKUP(B602, '[1]Landfall Stats'!A:G, 6, 0), "No LF")</f>
        <v>No LF</v>
      </c>
      <c r="J602" s="4" t="s">
        <v>1046</v>
      </c>
      <c r="K602" s="3">
        <v>0</v>
      </c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12.75" customHeight="1" x14ac:dyDescent="0.2">
      <c r="A603" s="3">
        <v>2016</v>
      </c>
      <c r="B603" s="3" t="s">
        <v>1047</v>
      </c>
      <c r="C603" s="3" t="str">
        <f>VLOOKUP($B603, '[1]HURDAT Query'!$A$1:$F$1030, 3, 0)</f>
        <v>JULIA</v>
      </c>
      <c r="D603" s="3" t="str">
        <f>VLOOKUP($B603, '[1]HURDAT Query'!$A$1:$F$1030, 4, 0)</f>
        <v>NA</v>
      </c>
      <c r="E603" s="3" t="str">
        <f>VLOOKUP($B603, '[1]HURDAT Query'!$A$1:$F$1030, 5, 0)</f>
        <v>NA</v>
      </c>
      <c r="F603" s="3" t="str">
        <f>VLOOKUP($B603, '[1]HURDAT Query'!$A$1:$F$1030, 6, 0)</f>
        <v>NA</v>
      </c>
      <c r="G603" s="3" t="str">
        <f>_xlfn.IFNA(VLOOKUP(B603, '[1]Landfall Stats'!A:G, 7, 0), "No LF")</f>
        <v>No LF</v>
      </c>
      <c r="H603" s="3" t="str">
        <f>_xlfn.IFNA(VLOOKUP(B603, '[1]Landfall Stats'!A:G, 5, 0), "No LF")</f>
        <v>No LF</v>
      </c>
      <c r="I603" s="3" t="str">
        <f>_xlfn.IFNA(VLOOKUP(B603, '[1]Landfall Stats'!A:G, 6, 0), "No LF")</f>
        <v>No LF</v>
      </c>
      <c r="J603" s="4" t="s">
        <v>1048</v>
      </c>
      <c r="K603" s="3">
        <v>0</v>
      </c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2.75" customHeight="1" x14ac:dyDescent="0.2">
      <c r="A604" s="3">
        <v>2016</v>
      </c>
      <c r="B604" s="3" t="s">
        <v>1049</v>
      </c>
      <c r="C604" s="3" t="str">
        <f>VLOOKUP($B604, '[1]HURDAT Query'!$A$1:$F$1030, 3, 0)</f>
        <v>KARL</v>
      </c>
      <c r="D604" s="3" t="str">
        <f>VLOOKUP($B604, '[1]HURDAT Query'!$A$1:$F$1030, 4, 0)</f>
        <v>NA</v>
      </c>
      <c r="E604" s="3" t="str">
        <f>VLOOKUP($B604, '[1]HURDAT Query'!$A$1:$F$1030, 5, 0)</f>
        <v>NA</v>
      </c>
      <c r="F604" s="3" t="str">
        <f>VLOOKUP($B604, '[1]HURDAT Query'!$A$1:$F$1030, 6, 0)</f>
        <v>NA</v>
      </c>
      <c r="G604" s="3" t="str">
        <f>_xlfn.IFNA(VLOOKUP(B604, '[1]Landfall Stats'!A:G, 7, 0), "No LF")</f>
        <v>No LF</v>
      </c>
      <c r="H604" s="3" t="str">
        <f>_xlfn.IFNA(VLOOKUP(B604, '[1]Landfall Stats'!A:G, 5, 0), "No LF")</f>
        <v>No LF</v>
      </c>
      <c r="I604" s="3" t="str">
        <f>_xlfn.IFNA(VLOOKUP(B604, '[1]Landfall Stats'!A:G, 6, 0), "No LF")</f>
        <v>No LF</v>
      </c>
      <c r="J604" s="4" t="s">
        <v>1050</v>
      </c>
      <c r="K604" s="3">
        <v>0</v>
      </c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2.75" customHeight="1" x14ac:dyDescent="0.2">
      <c r="A605" s="3">
        <v>2016</v>
      </c>
      <c r="B605" s="3" t="s">
        <v>1051</v>
      </c>
      <c r="C605" s="3" t="str">
        <f>VLOOKUP($B605, '[1]HURDAT Query'!$A$1:$F$1030, 3, 0)</f>
        <v>LISA</v>
      </c>
      <c r="D605" s="3" t="str">
        <f>VLOOKUP($B605, '[1]HURDAT Query'!$A$1:$F$1030, 4, 0)</f>
        <v>NA</v>
      </c>
      <c r="E605" s="3" t="str">
        <f>VLOOKUP($B605, '[1]HURDAT Query'!$A$1:$F$1030, 5, 0)</f>
        <v>NA</v>
      </c>
      <c r="F605" s="3" t="str">
        <f>VLOOKUP($B605, '[1]HURDAT Query'!$A$1:$F$1030, 6, 0)</f>
        <v>NA</v>
      </c>
      <c r="G605" s="3" t="str">
        <f>_xlfn.IFNA(VLOOKUP(B605, '[1]Landfall Stats'!A:G, 7, 0), "No LF")</f>
        <v>No LF</v>
      </c>
      <c r="H605" s="3" t="str">
        <f>_xlfn.IFNA(VLOOKUP(B605, '[1]Landfall Stats'!A:G, 5, 0), "No LF")</f>
        <v>No LF</v>
      </c>
      <c r="I605" s="3" t="str">
        <f>_xlfn.IFNA(VLOOKUP(B605, '[1]Landfall Stats'!A:G, 6, 0), "No LF")</f>
        <v>No LF</v>
      </c>
      <c r="J605" s="4" t="s">
        <v>1052</v>
      </c>
      <c r="K605" s="3">
        <v>0</v>
      </c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2.75" customHeight="1" x14ac:dyDescent="0.2">
      <c r="A606" s="3">
        <v>2016</v>
      </c>
      <c r="B606" s="3" t="s">
        <v>1053</v>
      </c>
      <c r="C606" s="3" t="str">
        <f>VLOOKUP($B606, '[1]HURDAT Query'!$A$1:$F$1030, 3, 0)</f>
        <v>MATTHEW</v>
      </c>
      <c r="D606" s="3">
        <f>VLOOKUP($B606, '[1]HURDAT Query'!$A$1:$F$1030, 4, 0)</f>
        <v>5</v>
      </c>
      <c r="E606" s="3">
        <f>VLOOKUP($B606, '[1]HURDAT Query'!$A$1:$F$1030, 5, 0)</f>
        <v>145</v>
      </c>
      <c r="F606" s="3">
        <f>VLOOKUP($B606, '[1]HURDAT Query'!$A$1:$F$1030, 6, 0)</f>
        <v>934</v>
      </c>
      <c r="G606" s="3">
        <f>_xlfn.IFNA(VLOOKUP(B606, '[1]Landfall Stats'!A:G, 7, 0), "No LF")</f>
        <v>1</v>
      </c>
      <c r="H606" s="3">
        <f>_xlfn.IFNA(VLOOKUP(B606, '[1]Landfall Stats'!A:G, 5, 0), "No LF")</f>
        <v>75</v>
      </c>
      <c r="I606" s="3">
        <f>_xlfn.IFNA(VLOOKUP(B606, '[1]Landfall Stats'!A:G, 6, 0), "No LF")</f>
        <v>967</v>
      </c>
      <c r="J606" s="4" t="s">
        <v>1054</v>
      </c>
      <c r="K606" s="3">
        <v>34</v>
      </c>
      <c r="L606" s="3"/>
      <c r="M606" s="3"/>
      <c r="N606" s="3"/>
      <c r="O606" s="3"/>
      <c r="P606" s="3"/>
      <c r="Q606" s="3"/>
      <c r="R606" s="3">
        <v>1</v>
      </c>
      <c r="S606" s="3" t="s">
        <v>104</v>
      </c>
      <c r="T606" s="3">
        <v>28</v>
      </c>
      <c r="U606" s="3" t="s">
        <v>1055</v>
      </c>
      <c r="V606" s="3"/>
      <c r="W606" s="3"/>
      <c r="X606" s="3">
        <v>5</v>
      </c>
      <c r="Y606" s="3" t="s">
        <v>1056</v>
      </c>
      <c r="Z606" s="3"/>
      <c r="AA606" s="3"/>
      <c r="AB606" s="3"/>
      <c r="AC606" s="3"/>
      <c r="AD606" s="3"/>
      <c r="AE606" s="3"/>
    </row>
    <row r="607" spans="1:31" ht="12.75" customHeight="1" x14ac:dyDescent="0.2">
      <c r="A607" s="3">
        <v>2016</v>
      </c>
      <c r="B607" s="3" t="s">
        <v>1057</v>
      </c>
      <c r="C607" s="3" t="str">
        <f>VLOOKUP($B607, '[1]HURDAT Query'!$A$1:$F$1030, 3, 0)</f>
        <v>NICOLE</v>
      </c>
      <c r="D607" s="3">
        <f>VLOOKUP($B607, '[1]HURDAT Query'!$A$1:$F$1030, 4, 0)</f>
        <v>4</v>
      </c>
      <c r="E607" s="3">
        <f>VLOOKUP($B607, '[1]HURDAT Query'!$A$1:$F$1030, 5, 0)</f>
        <v>120</v>
      </c>
      <c r="F607" s="3">
        <f>VLOOKUP($B607, '[1]HURDAT Query'!$A$1:$F$1030, 6, 0)</f>
        <v>950</v>
      </c>
      <c r="G607" s="3" t="str">
        <f>_xlfn.IFNA(VLOOKUP(B607, '[1]Landfall Stats'!A:G, 7, 0), "No LF")</f>
        <v>No LF</v>
      </c>
      <c r="H607" s="3" t="str">
        <f>_xlfn.IFNA(VLOOKUP(B607, '[1]Landfall Stats'!A:G, 5, 0), "No LF")</f>
        <v>No LF</v>
      </c>
      <c r="I607" s="3" t="str">
        <f>_xlfn.IFNA(VLOOKUP(B607, '[1]Landfall Stats'!A:G, 6, 0), "No LF")</f>
        <v>No LF</v>
      </c>
      <c r="J607" s="4" t="s">
        <v>1058</v>
      </c>
      <c r="K607" s="3">
        <v>0</v>
      </c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2.75" customHeight="1" x14ac:dyDescent="0.2">
      <c r="A608" s="3">
        <v>2016</v>
      </c>
      <c r="B608" s="3" t="s">
        <v>1059</v>
      </c>
      <c r="C608" s="3" t="str">
        <f>VLOOKUP($B608, '[1]HURDAT Query'!$A$1:$F$1030, 3, 0)</f>
        <v>OTTO</v>
      </c>
      <c r="D608" s="3">
        <f>VLOOKUP($B608, '[1]HURDAT Query'!$A$1:$F$1030, 4, 0)</f>
        <v>3</v>
      </c>
      <c r="E608" s="3">
        <f>VLOOKUP($B608, '[1]HURDAT Query'!$A$1:$F$1030, 5, 0)</f>
        <v>100</v>
      </c>
      <c r="F608" s="3">
        <f>VLOOKUP($B608, '[1]HURDAT Query'!$A$1:$F$1030, 6, 0)</f>
        <v>975</v>
      </c>
      <c r="G608" s="3" t="str">
        <f>_xlfn.IFNA(VLOOKUP(B608, '[1]Landfall Stats'!A:G, 7, 0), "No LF")</f>
        <v>No LF</v>
      </c>
      <c r="H608" s="3" t="str">
        <f>_xlfn.IFNA(VLOOKUP(B608, '[1]Landfall Stats'!A:G, 5, 0), "No LF")</f>
        <v>No LF</v>
      </c>
      <c r="I608" s="3" t="str">
        <f>_xlfn.IFNA(VLOOKUP(B608, '[1]Landfall Stats'!A:G, 6, 0), "No LF")</f>
        <v>No LF</v>
      </c>
      <c r="J608" s="4" t="s">
        <v>1060</v>
      </c>
      <c r="K608" s="3">
        <v>0</v>
      </c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2.75" customHeight="1" x14ac:dyDescent="0.2">
      <c r="A609" s="3">
        <v>2017</v>
      </c>
      <c r="B609" s="3" t="s">
        <v>1061</v>
      </c>
      <c r="C609" s="3" t="str">
        <f>VLOOKUP($B609, '[1]HURDAT Query'!$A$1:$F$1030, 3, 0)</f>
        <v>ARLENE</v>
      </c>
      <c r="D609" s="3" t="str">
        <f>VLOOKUP($B609, '[1]HURDAT Query'!$A$1:$F$1030, 4, 0)</f>
        <v>NA</v>
      </c>
      <c r="E609" s="3" t="str">
        <f>VLOOKUP($B609, '[1]HURDAT Query'!$A$1:$F$1030, 5, 0)</f>
        <v>NA</v>
      </c>
      <c r="F609" s="3" t="str">
        <f>VLOOKUP($B609, '[1]HURDAT Query'!$A$1:$F$1030, 6, 0)</f>
        <v>NA</v>
      </c>
      <c r="G609" s="3" t="str">
        <f>_xlfn.IFNA(VLOOKUP(B609, '[1]Landfall Stats'!A:G, 7, 0), "No LF")</f>
        <v>No LF</v>
      </c>
      <c r="H609" s="3" t="str">
        <f>_xlfn.IFNA(VLOOKUP(B609, '[1]Landfall Stats'!A:G, 5, 0), "No LF")</f>
        <v>No LF</v>
      </c>
      <c r="I609" s="3" t="str">
        <f>_xlfn.IFNA(VLOOKUP(B609, '[1]Landfall Stats'!A:G, 6, 0), "No LF")</f>
        <v>No LF</v>
      </c>
      <c r="J609" s="4" t="s">
        <v>1062</v>
      </c>
      <c r="K609" s="3">
        <v>0</v>
      </c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2.75" customHeight="1" x14ac:dyDescent="0.2">
      <c r="A610" s="3">
        <v>2017</v>
      </c>
      <c r="B610" s="3" t="s">
        <v>1063</v>
      </c>
      <c r="C610" s="3" t="str">
        <f>VLOOKUP($B610, '[1]HURDAT Query'!$A$1:$F$1030, 3, 0)</f>
        <v>BRET</v>
      </c>
      <c r="D610" s="3" t="str">
        <f>VLOOKUP($B610, '[1]HURDAT Query'!$A$1:$F$1030, 4, 0)</f>
        <v>NA</v>
      </c>
      <c r="E610" s="3" t="str">
        <f>VLOOKUP($B610, '[1]HURDAT Query'!$A$1:$F$1030, 5, 0)</f>
        <v>NA</v>
      </c>
      <c r="F610" s="3" t="str">
        <f>VLOOKUP($B610, '[1]HURDAT Query'!$A$1:$F$1030, 6, 0)</f>
        <v>NA</v>
      </c>
      <c r="G610" s="3" t="str">
        <f>_xlfn.IFNA(VLOOKUP(B610, '[1]Landfall Stats'!A:G, 7, 0), "No LF")</f>
        <v>No LF</v>
      </c>
      <c r="H610" s="3" t="str">
        <f>_xlfn.IFNA(VLOOKUP(B610, '[1]Landfall Stats'!A:G, 5, 0), "No LF")</f>
        <v>No LF</v>
      </c>
      <c r="I610" s="3" t="str">
        <f>_xlfn.IFNA(VLOOKUP(B610, '[1]Landfall Stats'!A:G, 6, 0), "No LF")</f>
        <v>No LF</v>
      </c>
      <c r="J610" s="4" t="s">
        <v>1064</v>
      </c>
      <c r="K610" s="3">
        <v>0</v>
      </c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2.75" customHeight="1" x14ac:dyDescent="0.2">
      <c r="A611" s="3">
        <v>2017</v>
      </c>
      <c r="B611" s="3" t="s">
        <v>1065</v>
      </c>
      <c r="C611" s="3" t="str">
        <f>VLOOKUP($B611, '[1]HURDAT Query'!$A$1:$F$1030, 3, 0)</f>
        <v>CINDY</v>
      </c>
      <c r="D611" s="3" t="str">
        <f>VLOOKUP($B611, '[1]HURDAT Query'!$A$1:$F$1030, 4, 0)</f>
        <v>NA</v>
      </c>
      <c r="E611" s="3" t="str">
        <f>VLOOKUP($B611, '[1]HURDAT Query'!$A$1:$F$1030, 5, 0)</f>
        <v>NA</v>
      </c>
      <c r="F611" s="3" t="str">
        <f>VLOOKUP($B611, '[1]HURDAT Query'!$A$1:$F$1030, 6, 0)</f>
        <v>NA</v>
      </c>
      <c r="G611" s="3" t="str">
        <f>_xlfn.IFNA(VLOOKUP(B611, '[1]Landfall Stats'!A:G, 7, 0), "No LF")</f>
        <v>No LF</v>
      </c>
      <c r="H611" s="3" t="str">
        <f>_xlfn.IFNA(VLOOKUP(B611, '[1]Landfall Stats'!A:G, 5, 0), "No LF")</f>
        <v>No LF</v>
      </c>
      <c r="I611" s="3" t="str">
        <f>_xlfn.IFNA(VLOOKUP(B611, '[1]Landfall Stats'!A:G, 6, 0), "No LF")</f>
        <v>No LF</v>
      </c>
      <c r="J611" s="4" t="s">
        <v>1066</v>
      </c>
      <c r="K611" s="3">
        <v>1</v>
      </c>
      <c r="L611" s="3"/>
      <c r="M611" s="3"/>
      <c r="N611" s="3">
        <v>1</v>
      </c>
      <c r="O611" s="3" t="s">
        <v>308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2.75" customHeight="1" x14ac:dyDescent="0.2">
      <c r="A612" s="3">
        <v>2017</v>
      </c>
      <c r="B612" s="3" t="s">
        <v>1067</v>
      </c>
      <c r="C612" s="3" t="str">
        <f>VLOOKUP($B612, '[1]HURDAT Query'!$A$1:$F$1030, 3, 0)</f>
        <v>FOUR</v>
      </c>
      <c r="D612" s="3" t="str">
        <f>VLOOKUP($B612, '[1]HURDAT Query'!$A$1:$F$1030, 4, 0)</f>
        <v>NA</v>
      </c>
      <c r="E612" s="3" t="str">
        <f>VLOOKUP($B612, '[1]HURDAT Query'!$A$1:$F$1030, 5, 0)</f>
        <v>NA</v>
      </c>
      <c r="F612" s="3" t="str">
        <f>VLOOKUP($B612, '[1]HURDAT Query'!$A$1:$F$1030, 6, 0)</f>
        <v>NA</v>
      </c>
      <c r="G612" s="3" t="str">
        <f>_xlfn.IFNA(VLOOKUP(B612, '[1]Landfall Stats'!A:G, 7, 0), "No LF")</f>
        <v>No LF</v>
      </c>
      <c r="H612" s="3" t="str">
        <f>_xlfn.IFNA(VLOOKUP(B612, '[1]Landfall Stats'!A:G, 5, 0), "No LF")</f>
        <v>No LF</v>
      </c>
      <c r="I612" s="3" t="str">
        <f>_xlfn.IFNA(VLOOKUP(B612, '[1]Landfall Stats'!A:G, 6, 0), "No LF")</f>
        <v>No LF</v>
      </c>
      <c r="J612" s="4" t="s">
        <v>1068</v>
      </c>
      <c r="K612" s="3">
        <v>0</v>
      </c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12.75" customHeight="1" x14ac:dyDescent="0.2">
      <c r="A613" s="3">
        <v>2017</v>
      </c>
      <c r="B613" s="3" t="s">
        <v>1069</v>
      </c>
      <c r="C613" s="3" t="str">
        <f>VLOOKUP($B613, '[1]HURDAT Query'!$A$1:$F$1030, 3, 0)</f>
        <v>DON</v>
      </c>
      <c r="D613" s="3" t="str">
        <f>VLOOKUP($B613, '[1]HURDAT Query'!$A$1:$F$1030, 4, 0)</f>
        <v>NA</v>
      </c>
      <c r="E613" s="3" t="str">
        <f>VLOOKUP($B613, '[1]HURDAT Query'!$A$1:$F$1030, 5, 0)</f>
        <v>NA</v>
      </c>
      <c r="F613" s="3" t="str">
        <f>VLOOKUP($B613, '[1]HURDAT Query'!$A$1:$F$1030, 6, 0)</f>
        <v>NA</v>
      </c>
      <c r="G613" s="3" t="str">
        <f>_xlfn.IFNA(VLOOKUP(B613, '[1]Landfall Stats'!A:G, 7, 0), "No LF")</f>
        <v>No LF</v>
      </c>
      <c r="H613" s="3" t="str">
        <f>_xlfn.IFNA(VLOOKUP(B613, '[1]Landfall Stats'!A:G, 5, 0), "No LF")</f>
        <v>No LF</v>
      </c>
      <c r="I613" s="3" t="str">
        <f>_xlfn.IFNA(VLOOKUP(B613, '[1]Landfall Stats'!A:G, 6, 0), "No LF")</f>
        <v>No LF</v>
      </c>
      <c r="J613" s="4" t="s">
        <v>1070</v>
      </c>
      <c r="K613" s="3">
        <v>0</v>
      </c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2.75" customHeight="1" x14ac:dyDescent="0.2">
      <c r="A614" s="3">
        <v>2017</v>
      </c>
      <c r="B614" s="3" t="s">
        <v>1071</v>
      </c>
      <c r="C614" s="3" t="str">
        <f>VLOOKUP($B614, '[1]HURDAT Query'!$A$1:$F$1030, 3, 0)</f>
        <v>EMILY</v>
      </c>
      <c r="D614" s="3" t="str">
        <f>VLOOKUP($B614, '[1]HURDAT Query'!$A$1:$F$1030, 4, 0)</f>
        <v>NA</v>
      </c>
      <c r="E614" s="3" t="str">
        <f>VLOOKUP($B614, '[1]HURDAT Query'!$A$1:$F$1030, 5, 0)</f>
        <v>NA</v>
      </c>
      <c r="F614" s="3" t="str">
        <f>VLOOKUP($B614, '[1]HURDAT Query'!$A$1:$F$1030, 6, 0)</f>
        <v>NA</v>
      </c>
      <c r="G614" s="3" t="str">
        <f>_xlfn.IFNA(VLOOKUP(B614, '[1]Landfall Stats'!A:G, 7, 0), "No LF")</f>
        <v>No LF</v>
      </c>
      <c r="H614" s="3" t="str">
        <f>_xlfn.IFNA(VLOOKUP(B614, '[1]Landfall Stats'!A:G, 5, 0), "No LF")</f>
        <v>No LF</v>
      </c>
      <c r="I614" s="3" t="str">
        <f>_xlfn.IFNA(VLOOKUP(B614, '[1]Landfall Stats'!A:G, 6, 0), "No LF")</f>
        <v>No LF</v>
      </c>
      <c r="J614" s="4" t="s">
        <v>1072</v>
      </c>
      <c r="K614" s="3">
        <v>0</v>
      </c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2.75" customHeight="1" x14ac:dyDescent="0.2">
      <c r="A615" s="3">
        <v>2017</v>
      </c>
      <c r="B615" s="3" t="s">
        <v>1073</v>
      </c>
      <c r="C615" s="3" t="str">
        <f>VLOOKUP($B615, '[1]HURDAT Query'!$A$1:$F$1030, 3, 0)</f>
        <v>FRANKLIN</v>
      </c>
      <c r="D615" s="3">
        <f>VLOOKUP($B615, '[1]HURDAT Query'!$A$1:$F$1030, 4, 0)</f>
        <v>1</v>
      </c>
      <c r="E615" s="3">
        <f>VLOOKUP($B615, '[1]HURDAT Query'!$A$1:$F$1030, 5, 0)</f>
        <v>75</v>
      </c>
      <c r="F615" s="3">
        <f>VLOOKUP($B615, '[1]HURDAT Query'!$A$1:$F$1030, 6, 0)</f>
        <v>981</v>
      </c>
      <c r="G615" s="3" t="str">
        <f>_xlfn.IFNA(VLOOKUP(B615, '[1]Landfall Stats'!A:G, 7, 0), "No LF")</f>
        <v>No LF</v>
      </c>
      <c r="H615" s="3" t="str">
        <f>_xlfn.IFNA(VLOOKUP(B615, '[1]Landfall Stats'!A:G, 5, 0), "No LF")</f>
        <v>No LF</v>
      </c>
      <c r="I615" s="3" t="str">
        <f>_xlfn.IFNA(VLOOKUP(B615, '[1]Landfall Stats'!A:G, 6, 0), "No LF")</f>
        <v>No LF</v>
      </c>
      <c r="J615" s="4" t="s">
        <v>1074</v>
      </c>
      <c r="K615" s="3">
        <v>0</v>
      </c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2.75" customHeight="1" x14ac:dyDescent="0.2">
      <c r="A616" s="3">
        <v>2017</v>
      </c>
      <c r="B616" s="3" t="s">
        <v>1075</v>
      </c>
      <c r="C616" s="3" t="str">
        <f>VLOOKUP($B616, '[1]HURDAT Query'!$A$1:$F$1030, 3, 0)</f>
        <v>GERT</v>
      </c>
      <c r="D616" s="3">
        <f>VLOOKUP($B616, '[1]HURDAT Query'!$A$1:$F$1030, 4, 0)</f>
        <v>2</v>
      </c>
      <c r="E616" s="3">
        <f>VLOOKUP($B616, '[1]HURDAT Query'!$A$1:$F$1030, 5, 0)</f>
        <v>95</v>
      </c>
      <c r="F616" s="3">
        <f>VLOOKUP($B616, '[1]HURDAT Query'!$A$1:$F$1030, 6, 0)</f>
        <v>962</v>
      </c>
      <c r="G616" s="3" t="str">
        <f>_xlfn.IFNA(VLOOKUP(B616, '[1]Landfall Stats'!A:G, 7, 0), "No LF")</f>
        <v>No LF</v>
      </c>
      <c r="H616" s="3" t="str">
        <f>_xlfn.IFNA(VLOOKUP(B616, '[1]Landfall Stats'!A:G, 5, 0), "No LF")</f>
        <v>No LF</v>
      </c>
      <c r="I616" s="3" t="str">
        <f>_xlfn.IFNA(VLOOKUP(B616, '[1]Landfall Stats'!A:G, 6, 0), "No LF")</f>
        <v>No LF</v>
      </c>
      <c r="J616" s="4" t="s">
        <v>1076</v>
      </c>
      <c r="K616" s="3">
        <v>0</v>
      </c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2.75" customHeight="1" x14ac:dyDescent="0.2">
      <c r="A617" s="3">
        <v>2017</v>
      </c>
      <c r="B617" s="3" t="s">
        <v>1077</v>
      </c>
      <c r="C617" s="3" t="str">
        <f>VLOOKUP($B617, '[1]HURDAT Query'!$A$1:$F$1030, 3, 0)</f>
        <v>HARVEY</v>
      </c>
      <c r="D617" s="3">
        <f>VLOOKUP($B617, '[1]HURDAT Query'!$A$1:$F$1030, 4, 0)</f>
        <v>4</v>
      </c>
      <c r="E617" s="3">
        <f>VLOOKUP($B617, '[1]HURDAT Query'!$A$1:$F$1030, 5, 0)</f>
        <v>115</v>
      </c>
      <c r="F617" s="3">
        <f>VLOOKUP($B617, '[1]HURDAT Query'!$A$1:$F$1030, 6, 0)</f>
        <v>937</v>
      </c>
      <c r="G617" s="3">
        <f>_xlfn.IFNA(VLOOKUP(B617, '[1]Landfall Stats'!A:G, 7, 0), "No LF")</f>
        <v>4</v>
      </c>
      <c r="H617" s="3">
        <f>_xlfn.IFNA(VLOOKUP(B617, '[1]Landfall Stats'!A:G, 5, 0), "No LF")</f>
        <v>115</v>
      </c>
      <c r="I617" s="3">
        <f>_xlfn.IFNA(VLOOKUP(B617, '[1]Landfall Stats'!A:G, 6, 0), "No LF")</f>
        <v>937</v>
      </c>
      <c r="J617" s="4" t="s">
        <v>1078</v>
      </c>
      <c r="K617" s="3">
        <v>68</v>
      </c>
      <c r="L617" s="3"/>
      <c r="M617" s="3"/>
      <c r="N617" s="3"/>
      <c r="O617" s="3"/>
      <c r="P617" s="3"/>
      <c r="Q617" s="3"/>
      <c r="R617" s="3"/>
      <c r="S617" s="3"/>
      <c r="T617" s="3">
        <v>65</v>
      </c>
      <c r="U617" s="3" t="s">
        <v>38</v>
      </c>
      <c r="V617" s="3"/>
      <c r="W617" s="3"/>
      <c r="X617" s="3"/>
      <c r="Y617" s="3"/>
      <c r="Z617" s="3"/>
      <c r="AA617" s="3"/>
      <c r="AB617" s="3"/>
      <c r="AC617" s="3"/>
      <c r="AD617" s="3">
        <v>3</v>
      </c>
      <c r="AE617" s="3" t="s">
        <v>38</v>
      </c>
    </row>
    <row r="618" spans="1:31" ht="12.75" customHeight="1" x14ac:dyDescent="0.2">
      <c r="A618" s="3">
        <v>2017</v>
      </c>
      <c r="B618" s="3" t="s">
        <v>1079</v>
      </c>
      <c r="C618" s="3" t="str">
        <f>VLOOKUP($B618, '[1]HURDAT Query'!$A$1:$F$1030, 3, 0)</f>
        <v>IRMA</v>
      </c>
      <c r="D618" s="3">
        <f>VLOOKUP($B618, '[1]HURDAT Query'!$A$1:$F$1030, 4, 0)</f>
        <v>5</v>
      </c>
      <c r="E618" s="3">
        <f>VLOOKUP($B618, '[1]HURDAT Query'!$A$1:$F$1030, 5, 0)</f>
        <v>155</v>
      </c>
      <c r="F618" s="3">
        <f>VLOOKUP($B618, '[1]HURDAT Query'!$A$1:$F$1030, 6, 0)</f>
        <v>914</v>
      </c>
      <c r="G618" s="3">
        <f>_xlfn.IFNA(VLOOKUP(B618, '[1]Landfall Stats'!A:G, 7, 0), "No LF")</f>
        <v>4</v>
      </c>
      <c r="H618" s="3">
        <f>_xlfn.IFNA(VLOOKUP(B618, '[1]Landfall Stats'!A:G, 5, 0), "No LF")</f>
        <v>115</v>
      </c>
      <c r="I618" s="3">
        <f>_xlfn.IFNA(VLOOKUP(B618, '[1]Landfall Stats'!A:G, 6, 0), "No LF")</f>
        <v>931</v>
      </c>
      <c r="J618" s="4" t="s">
        <v>1080</v>
      </c>
      <c r="K618" s="3">
        <v>10</v>
      </c>
      <c r="L618" s="3"/>
      <c r="M618" s="3"/>
      <c r="N618" s="3"/>
      <c r="O618" s="3"/>
      <c r="P618" s="3"/>
      <c r="Q618" s="3"/>
      <c r="R618" s="3"/>
      <c r="S618" s="3"/>
      <c r="T618" s="3">
        <v>2</v>
      </c>
      <c r="U618" s="3" t="s">
        <v>51</v>
      </c>
      <c r="V618" s="3">
        <v>1</v>
      </c>
      <c r="W618" s="3" t="s">
        <v>51</v>
      </c>
      <c r="X618" s="3">
        <v>3</v>
      </c>
      <c r="Y618" s="3" t="s">
        <v>1081</v>
      </c>
      <c r="Z618" s="3"/>
      <c r="AA618" s="3"/>
      <c r="AB618" s="3"/>
      <c r="AC618" s="3"/>
      <c r="AD618" s="3">
        <v>4</v>
      </c>
      <c r="AE618" s="3" t="s">
        <v>51</v>
      </c>
    </row>
    <row r="619" spans="1:31" ht="12.75" customHeight="1" x14ac:dyDescent="0.2">
      <c r="A619" s="3">
        <v>2017</v>
      </c>
      <c r="B619" s="3" t="s">
        <v>1082</v>
      </c>
      <c r="C619" s="3" t="str">
        <f>VLOOKUP($B619, '[1]HURDAT Query'!$A$1:$F$1030, 3, 0)</f>
        <v>JOSE</v>
      </c>
      <c r="D619" s="3">
        <f>VLOOKUP($B619, '[1]HURDAT Query'!$A$1:$F$1030, 4, 0)</f>
        <v>4</v>
      </c>
      <c r="E619" s="3">
        <f>VLOOKUP($B619, '[1]HURDAT Query'!$A$1:$F$1030, 5, 0)</f>
        <v>135</v>
      </c>
      <c r="F619" s="3">
        <f>VLOOKUP($B619, '[1]HURDAT Query'!$A$1:$F$1030, 6, 0)</f>
        <v>938</v>
      </c>
      <c r="G619" s="3" t="str">
        <f>_xlfn.IFNA(VLOOKUP(B619, '[1]Landfall Stats'!A:G, 7, 0), "No LF")</f>
        <v>No LF</v>
      </c>
      <c r="H619" s="3" t="str">
        <f>_xlfn.IFNA(VLOOKUP(B619, '[1]Landfall Stats'!A:G, 5, 0), "No LF")</f>
        <v>No LF</v>
      </c>
      <c r="I619" s="3" t="str">
        <f>_xlfn.IFNA(VLOOKUP(B619, '[1]Landfall Stats'!A:G, 6, 0), "No LF")</f>
        <v>No LF</v>
      </c>
      <c r="J619" s="4" t="s">
        <v>1083</v>
      </c>
      <c r="K619" s="3">
        <v>0</v>
      </c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12.75" customHeight="1" x14ac:dyDescent="0.2">
      <c r="A620" s="3">
        <v>2017</v>
      </c>
      <c r="B620" s="3" t="s">
        <v>1084</v>
      </c>
      <c r="C620" s="3" t="str">
        <f>VLOOKUP($B620, '[1]HURDAT Query'!$A$1:$F$1030, 3, 0)</f>
        <v>KATIA</v>
      </c>
      <c r="D620" s="3">
        <f>VLOOKUP($B620, '[1]HURDAT Query'!$A$1:$F$1030, 4, 0)</f>
        <v>2</v>
      </c>
      <c r="E620" s="3">
        <f>VLOOKUP($B620, '[1]HURDAT Query'!$A$1:$F$1030, 5, 0)</f>
        <v>90</v>
      </c>
      <c r="F620" s="3">
        <f>VLOOKUP($B620, '[1]HURDAT Query'!$A$1:$F$1030, 6, 0)</f>
        <v>972</v>
      </c>
      <c r="G620" s="3" t="str">
        <f>_xlfn.IFNA(VLOOKUP(B620, '[1]Landfall Stats'!A:G, 7, 0), "No LF")</f>
        <v>No LF</v>
      </c>
      <c r="H620" s="3" t="str">
        <f>_xlfn.IFNA(VLOOKUP(B620, '[1]Landfall Stats'!A:G, 5, 0), "No LF")</f>
        <v>No LF</v>
      </c>
      <c r="I620" s="3" t="str">
        <f>_xlfn.IFNA(VLOOKUP(B620, '[1]Landfall Stats'!A:G, 6, 0), "No LF")</f>
        <v>No LF</v>
      </c>
      <c r="J620" s="4" t="s">
        <v>1085</v>
      </c>
      <c r="K620" s="3">
        <v>0</v>
      </c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2.75" customHeight="1" x14ac:dyDescent="0.2">
      <c r="A621" s="3">
        <v>2017</v>
      </c>
      <c r="B621" s="3" t="s">
        <v>1086</v>
      </c>
      <c r="C621" s="3" t="str">
        <f>VLOOKUP($B621, '[1]HURDAT Query'!$A$1:$F$1030, 3, 0)</f>
        <v>LEE</v>
      </c>
      <c r="D621" s="3">
        <f>VLOOKUP($B621, '[1]HURDAT Query'!$A$1:$F$1030, 4, 0)</f>
        <v>3</v>
      </c>
      <c r="E621" s="3">
        <f>VLOOKUP($B621, '[1]HURDAT Query'!$A$1:$F$1030, 5, 0)</f>
        <v>100</v>
      </c>
      <c r="F621" s="3">
        <f>VLOOKUP($B621, '[1]HURDAT Query'!$A$1:$F$1030, 6, 0)</f>
        <v>962</v>
      </c>
      <c r="G621" s="3" t="str">
        <f>_xlfn.IFNA(VLOOKUP(B621, '[1]Landfall Stats'!A:G, 7, 0), "No LF")</f>
        <v>No LF</v>
      </c>
      <c r="H621" s="3" t="str">
        <f>_xlfn.IFNA(VLOOKUP(B621, '[1]Landfall Stats'!A:G, 5, 0), "No LF")</f>
        <v>No LF</v>
      </c>
      <c r="I621" s="3" t="str">
        <f>_xlfn.IFNA(VLOOKUP(B621, '[1]Landfall Stats'!A:G, 6, 0), "No LF")</f>
        <v>No LF</v>
      </c>
      <c r="J621" s="4" t="s">
        <v>1087</v>
      </c>
      <c r="K621" s="3">
        <v>0</v>
      </c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2.75" customHeight="1" x14ac:dyDescent="0.2">
      <c r="A622" s="3">
        <v>2017</v>
      </c>
      <c r="B622" s="3" t="s">
        <v>1088</v>
      </c>
      <c r="C622" s="3" t="str">
        <f>VLOOKUP($B622, '[1]HURDAT Query'!$A$1:$F$1030, 3, 0)</f>
        <v>MARIA</v>
      </c>
      <c r="D622" s="3">
        <f>VLOOKUP($B622, '[1]HURDAT Query'!$A$1:$F$1030, 4, 0)</f>
        <v>5</v>
      </c>
      <c r="E622" s="3">
        <f>VLOOKUP($B622, '[1]HURDAT Query'!$A$1:$F$1030, 5, 0)</f>
        <v>150</v>
      </c>
      <c r="F622" s="3">
        <f>VLOOKUP($B622, '[1]HURDAT Query'!$A$1:$F$1030, 6, 0)</f>
        <v>908</v>
      </c>
      <c r="G622" s="3" t="str">
        <f>_xlfn.IFNA(VLOOKUP(B622, '[1]Landfall Stats'!A:G, 7, 0), "No LF")</f>
        <v>No LF</v>
      </c>
      <c r="H622" s="3" t="str">
        <f>_xlfn.IFNA(VLOOKUP(B622, '[1]Landfall Stats'!A:G, 5, 0), "No LF")</f>
        <v>No LF</v>
      </c>
      <c r="I622" s="3" t="str">
        <f>_xlfn.IFNA(VLOOKUP(B622, '[1]Landfall Stats'!A:G, 6, 0), "No LF")</f>
        <v>No LF</v>
      </c>
      <c r="J622" s="4" t="s">
        <v>1089</v>
      </c>
      <c r="K622" s="3">
        <v>4</v>
      </c>
      <c r="L622" s="3"/>
      <c r="M622" s="3"/>
      <c r="N622" s="3">
        <v>1</v>
      </c>
      <c r="O622" s="3" t="s">
        <v>51</v>
      </c>
      <c r="P622" s="3"/>
      <c r="Q622" s="3"/>
      <c r="R622" s="3">
        <v>3</v>
      </c>
      <c r="S622" s="3" t="s">
        <v>84</v>
      </c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2.75" customHeight="1" x14ac:dyDescent="0.2">
      <c r="A623" s="3">
        <v>2017</v>
      </c>
      <c r="B623" s="3" t="s">
        <v>1090</v>
      </c>
      <c r="C623" s="3" t="str">
        <f>VLOOKUP($B623, '[1]HURDAT Query'!$A$1:$F$1030, 3, 0)</f>
        <v>NATE</v>
      </c>
      <c r="D623" s="3">
        <f>VLOOKUP($B623, '[1]HURDAT Query'!$A$1:$F$1030, 4, 0)</f>
        <v>1</v>
      </c>
      <c r="E623" s="3">
        <f>VLOOKUP($B623, '[1]HURDAT Query'!$A$1:$F$1030, 5, 0)</f>
        <v>80</v>
      </c>
      <c r="F623" s="3">
        <f>VLOOKUP($B623, '[1]HURDAT Query'!$A$1:$F$1030, 6, 0)</f>
        <v>981</v>
      </c>
      <c r="G623" s="3">
        <f>_xlfn.IFNA(VLOOKUP(B623, '[1]Landfall Stats'!A:G, 7, 0), "No LF")</f>
        <v>1</v>
      </c>
      <c r="H623" s="3">
        <f>_xlfn.IFNA(VLOOKUP(B623, '[1]Landfall Stats'!A:G, 5, 0), "No LF")</f>
        <v>75</v>
      </c>
      <c r="I623" s="3">
        <f>_xlfn.IFNA(VLOOKUP(B623, '[1]Landfall Stats'!A:G, 6, 0), "No LF")</f>
        <v>983</v>
      </c>
      <c r="J623" s="4" t="s">
        <v>1091</v>
      </c>
      <c r="K623" s="3">
        <v>0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2.75" customHeight="1" x14ac:dyDescent="0.2">
      <c r="A624" s="3">
        <v>2017</v>
      </c>
      <c r="B624" s="3" t="s">
        <v>1092</v>
      </c>
      <c r="C624" s="3" t="str">
        <f>VLOOKUP($B624, '[1]HURDAT Query'!$A$1:$F$1030, 3, 0)</f>
        <v>OPHELIA</v>
      </c>
      <c r="D624" s="3">
        <f>VLOOKUP($B624, '[1]HURDAT Query'!$A$1:$F$1030, 4, 0)</f>
        <v>3</v>
      </c>
      <c r="E624" s="3">
        <f>VLOOKUP($B624, '[1]HURDAT Query'!$A$1:$F$1030, 5, 0)</f>
        <v>100</v>
      </c>
      <c r="F624" s="3">
        <f>VLOOKUP($B624, '[1]HURDAT Query'!$A$1:$F$1030, 6, 0)</f>
        <v>959</v>
      </c>
      <c r="G624" s="3" t="str">
        <f>_xlfn.IFNA(VLOOKUP(B624, '[1]Landfall Stats'!A:G, 7, 0), "No LF")</f>
        <v>No LF</v>
      </c>
      <c r="H624" s="3" t="str">
        <f>_xlfn.IFNA(VLOOKUP(B624, '[1]Landfall Stats'!A:G, 5, 0), "No LF")</f>
        <v>No LF</v>
      </c>
      <c r="I624" s="3" t="str">
        <f>_xlfn.IFNA(VLOOKUP(B624, '[1]Landfall Stats'!A:G, 6, 0), "No LF")</f>
        <v>No LF</v>
      </c>
      <c r="J624" s="4" t="s">
        <v>1093</v>
      </c>
      <c r="K624" s="3">
        <v>0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2.75" customHeight="1" x14ac:dyDescent="0.2">
      <c r="A625" s="3">
        <v>2017</v>
      </c>
      <c r="B625" s="3" t="s">
        <v>1094</v>
      </c>
      <c r="C625" s="3" t="str">
        <f>VLOOKUP($B625, '[1]HURDAT Query'!$A$1:$F$1030, 3, 0)</f>
        <v>PHILIPPE</v>
      </c>
      <c r="D625" s="3" t="str">
        <f>VLOOKUP($B625, '[1]HURDAT Query'!$A$1:$F$1030, 4, 0)</f>
        <v>NA</v>
      </c>
      <c r="E625" s="3" t="str">
        <f>VLOOKUP($B625, '[1]HURDAT Query'!$A$1:$F$1030, 5, 0)</f>
        <v>NA</v>
      </c>
      <c r="F625" s="3" t="str">
        <f>VLOOKUP($B625, '[1]HURDAT Query'!$A$1:$F$1030, 6, 0)</f>
        <v>NA</v>
      </c>
      <c r="G625" s="3" t="str">
        <f>_xlfn.IFNA(VLOOKUP(B625, '[1]Landfall Stats'!A:G, 7, 0), "No LF")</f>
        <v>No LF</v>
      </c>
      <c r="H625" s="3" t="str">
        <f>_xlfn.IFNA(VLOOKUP(B625, '[1]Landfall Stats'!A:G, 5, 0), "No LF")</f>
        <v>No LF</v>
      </c>
      <c r="I625" s="3" t="str">
        <f>_xlfn.IFNA(VLOOKUP(B625, '[1]Landfall Stats'!A:G, 6, 0), "No LF")</f>
        <v>No LF</v>
      </c>
      <c r="J625" s="4" t="s">
        <v>1095</v>
      </c>
      <c r="K625" s="3">
        <v>0</v>
      </c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2.75" customHeight="1" x14ac:dyDescent="0.2">
      <c r="A626" s="3">
        <v>2017</v>
      </c>
      <c r="B626" s="3" t="s">
        <v>1096</v>
      </c>
      <c r="C626" s="3" t="str">
        <f>VLOOKUP($B626, '[1]HURDAT Query'!$A$1:$F$1030, 3, 0)</f>
        <v>RINA</v>
      </c>
      <c r="D626" s="3" t="str">
        <f>VLOOKUP($B626, '[1]HURDAT Query'!$A$1:$F$1030, 4, 0)</f>
        <v>NA</v>
      </c>
      <c r="E626" s="3" t="str">
        <f>VLOOKUP($B626, '[1]HURDAT Query'!$A$1:$F$1030, 5, 0)</f>
        <v>NA</v>
      </c>
      <c r="F626" s="3" t="str">
        <f>VLOOKUP($B626, '[1]HURDAT Query'!$A$1:$F$1030, 6, 0)</f>
        <v>NA</v>
      </c>
      <c r="G626" s="3" t="str">
        <f>_xlfn.IFNA(VLOOKUP(B626, '[1]Landfall Stats'!A:G, 7, 0), "No LF")</f>
        <v>No LF</v>
      </c>
      <c r="H626" s="3" t="str">
        <f>_xlfn.IFNA(VLOOKUP(B626, '[1]Landfall Stats'!A:G, 5, 0), "No LF")</f>
        <v>No LF</v>
      </c>
      <c r="I626" s="3" t="str">
        <f>_xlfn.IFNA(VLOOKUP(B626, '[1]Landfall Stats'!A:G, 6, 0), "No LF")</f>
        <v>No LF</v>
      </c>
      <c r="J626" s="4" t="s">
        <v>1097</v>
      </c>
      <c r="K626" s="3">
        <v>0</v>
      </c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2.75" customHeight="1" x14ac:dyDescent="0.2">
      <c r="A627" s="3">
        <v>2018</v>
      </c>
      <c r="B627" s="3" t="s">
        <v>1098</v>
      </c>
      <c r="C627" s="3" t="str">
        <f>VLOOKUP($B627, '[1]HURDAT Query'!$A$1:$F$1030, 3, 0)</f>
        <v>ALBERTO</v>
      </c>
      <c r="D627" s="3" t="str">
        <f>VLOOKUP($B627, '[1]HURDAT Query'!$A$1:$F$1030, 4, 0)</f>
        <v>NA</v>
      </c>
      <c r="E627" s="3" t="str">
        <f>VLOOKUP($B627, '[1]HURDAT Query'!$A$1:$F$1030, 5, 0)</f>
        <v>NA</v>
      </c>
      <c r="F627" s="3" t="str">
        <f>VLOOKUP($B627, '[1]HURDAT Query'!$A$1:$F$1030, 6, 0)</f>
        <v>NA</v>
      </c>
      <c r="G627" s="3" t="str">
        <f>_xlfn.IFNA(VLOOKUP(B627, '[1]Landfall Stats'!A:G, 7, 0), "No LF")</f>
        <v>No LF</v>
      </c>
      <c r="H627" s="3" t="str">
        <f>_xlfn.IFNA(VLOOKUP(B627, '[1]Landfall Stats'!A:G, 5, 0), "No LF")</f>
        <v>No LF</v>
      </c>
      <c r="I627" s="3" t="str">
        <f>_xlfn.IFNA(VLOOKUP(B627, '[1]Landfall Stats'!A:G, 6, 0), "No LF")</f>
        <v>No LF</v>
      </c>
      <c r="J627" s="4" t="s">
        <v>1099</v>
      </c>
      <c r="K627" s="3">
        <v>8</v>
      </c>
      <c r="L627" s="3"/>
      <c r="M627" s="3"/>
      <c r="N627" s="3"/>
      <c r="O627" s="3"/>
      <c r="P627" s="3"/>
      <c r="Q627" s="3"/>
      <c r="R627" s="3"/>
      <c r="S627" s="3"/>
      <c r="T627" s="3">
        <v>6</v>
      </c>
      <c r="U627" s="3" t="s">
        <v>1100</v>
      </c>
      <c r="V627" s="3"/>
      <c r="W627" s="3"/>
      <c r="X627" s="3">
        <v>2</v>
      </c>
      <c r="Y627" s="3" t="s">
        <v>290</v>
      </c>
      <c r="Z627" s="3"/>
      <c r="AA627" s="3"/>
      <c r="AB627" s="3"/>
      <c r="AC627" s="3"/>
      <c r="AD627" s="3"/>
      <c r="AE627" s="3"/>
    </row>
    <row r="628" spans="1:31" ht="12.75" customHeight="1" x14ac:dyDescent="0.2">
      <c r="A628" s="3">
        <v>2018</v>
      </c>
      <c r="B628" s="3" t="s">
        <v>1101</v>
      </c>
      <c r="C628" s="3" t="str">
        <f>VLOOKUP($B628, '[1]HURDAT Query'!$A$1:$F$1030, 3, 0)</f>
        <v>BERYL</v>
      </c>
      <c r="D628" s="3">
        <f>VLOOKUP($B628, '[1]HURDAT Query'!$A$1:$F$1030, 4, 0)</f>
        <v>1</v>
      </c>
      <c r="E628" s="3">
        <f>VLOOKUP($B628, '[1]HURDAT Query'!$A$1:$F$1030, 5, 0)</f>
        <v>70</v>
      </c>
      <c r="F628" s="3">
        <f>VLOOKUP($B628, '[1]HURDAT Query'!$A$1:$F$1030, 6, 0)</f>
        <v>991</v>
      </c>
      <c r="G628" s="3" t="str">
        <f>_xlfn.IFNA(VLOOKUP(B628, '[1]Landfall Stats'!A:G, 7, 0), "No LF")</f>
        <v>No LF</v>
      </c>
      <c r="H628" s="3" t="str">
        <f>_xlfn.IFNA(VLOOKUP(B628, '[1]Landfall Stats'!A:G, 5, 0), "No LF")</f>
        <v>No LF</v>
      </c>
      <c r="I628" s="3" t="str">
        <f>_xlfn.IFNA(VLOOKUP(B628, '[1]Landfall Stats'!A:G, 6, 0), "No LF")</f>
        <v>No LF</v>
      </c>
      <c r="J628" s="4" t="s">
        <v>1102</v>
      </c>
      <c r="K628" s="3">
        <v>0</v>
      </c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12.75" customHeight="1" x14ac:dyDescent="0.2">
      <c r="A629" s="3">
        <v>2018</v>
      </c>
      <c r="B629" s="3" t="s">
        <v>1103</v>
      </c>
      <c r="C629" s="3" t="str">
        <f>VLOOKUP($B629, '[1]HURDAT Query'!$A$1:$F$1030, 3, 0)</f>
        <v>CHRIS</v>
      </c>
      <c r="D629" s="3">
        <f>VLOOKUP($B629, '[1]HURDAT Query'!$A$1:$F$1030, 4, 0)</f>
        <v>2</v>
      </c>
      <c r="E629" s="3">
        <f>VLOOKUP($B629, '[1]HURDAT Query'!$A$1:$F$1030, 5, 0)</f>
        <v>90</v>
      </c>
      <c r="F629" s="3">
        <f>VLOOKUP($B629, '[1]HURDAT Query'!$A$1:$F$1030, 6, 0)</f>
        <v>969</v>
      </c>
      <c r="G629" s="3" t="str">
        <f>_xlfn.IFNA(VLOOKUP(B629, '[1]Landfall Stats'!A:G, 7, 0), "No LF")</f>
        <v>No LF</v>
      </c>
      <c r="H629" s="3" t="str">
        <f>_xlfn.IFNA(VLOOKUP(B629, '[1]Landfall Stats'!A:G, 5, 0), "No LF")</f>
        <v>No LF</v>
      </c>
      <c r="I629" s="3" t="str">
        <f>_xlfn.IFNA(VLOOKUP(B629, '[1]Landfall Stats'!A:G, 6, 0), "No LF")</f>
        <v>No LF</v>
      </c>
      <c r="J629" s="4" t="s">
        <v>1104</v>
      </c>
      <c r="K629" s="3">
        <v>1</v>
      </c>
      <c r="L629" s="3"/>
      <c r="M629" s="3"/>
      <c r="N629" s="3">
        <v>1</v>
      </c>
      <c r="O629" s="3" t="s">
        <v>290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2.75" customHeight="1" x14ac:dyDescent="0.2">
      <c r="A630" s="3">
        <v>2018</v>
      </c>
      <c r="B630" s="3" t="s">
        <v>1105</v>
      </c>
      <c r="C630" s="3" t="str">
        <f>VLOOKUP($B630, '[1]HURDAT Query'!$A$1:$F$1030, 3, 0)</f>
        <v>DEBBY</v>
      </c>
      <c r="D630" s="3" t="str">
        <f>VLOOKUP($B630, '[1]HURDAT Query'!$A$1:$F$1030, 4, 0)</f>
        <v>NA</v>
      </c>
      <c r="E630" s="3" t="str">
        <f>VLOOKUP($B630, '[1]HURDAT Query'!$A$1:$F$1030, 5, 0)</f>
        <v>NA</v>
      </c>
      <c r="F630" s="3" t="str">
        <f>VLOOKUP($B630, '[1]HURDAT Query'!$A$1:$F$1030, 6, 0)</f>
        <v>NA</v>
      </c>
      <c r="G630" s="3" t="str">
        <f>_xlfn.IFNA(VLOOKUP(B630, '[1]Landfall Stats'!A:G, 7, 0), "No LF")</f>
        <v>No LF</v>
      </c>
      <c r="H630" s="3" t="str">
        <f>_xlfn.IFNA(VLOOKUP(B630, '[1]Landfall Stats'!A:G, 5, 0), "No LF")</f>
        <v>No LF</v>
      </c>
      <c r="I630" s="3" t="str">
        <f>_xlfn.IFNA(VLOOKUP(B630, '[1]Landfall Stats'!A:G, 6, 0), "No LF")</f>
        <v>No LF</v>
      </c>
      <c r="J630" s="4" t="s">
        <v>1106</v>
      </c>
      <c r="K630" s="3">
        <v>0</v>
      </c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2.75" customHeight="1" x14ac:dyDescent="0.2">
      <c r="A631" s="3">
        <v>2018</v>
      </c>
      <c r="B631" s="3" t="s">
        <v>1107</v>
      </c>
      <c r="C631" s="3" t="str">
        <f>VLOOKUP($B631, '[1]HURDAT Query'!$A$1:$F$1030, 3, 0)</f>
        <v>ERNESTO</v>
      </c>
      <c r="D631" s="3" t="str">
        <f>VLOOKUP($B631, '[1]HURDAT Query'!$A$1:$F$1030, 4, 0)</f>
        <v>NA</v>
      </c>
      <c r="E631" s="3" t="str">
        <f>VLOOKUP($B631, '[1]HURDAT Query'!$A$1:$F$1030, 5, 0)</f>
        <v>NA</v>
      </c>
      <c r="F631" s="3" t="str">
        <f>VLOOKUP($B631, '[1]HURDAT Query'!$A$1:$F$1030, 6, 0)</f>
        <v>NA</v>
      </c>
      <c r="G631" s="3" t="str">
        <f>_xlfn.IFNA(VLOOKUP(B631, '[1]Landfall Stats'!A:G, 7, 0), "No LF")</f>
        <v>No LF</v>
      </c>
      <c r="H631" s="3" t="str">
        <f>_xlfn.IFNA(VLOOKUP(B631, '[1]Landfall Stats'!A:G, 5, 0), "No LF")</f>
        <v>No LF</v>
      </c>
      <c r="I631" s="3" t="str">
        <f>_xlfn.IFNA(VLOOKUP(B631, '[1]Landfall Stats'!A:G, 6, 0), "No LF")</f>
        <v>No LF</v>
      </c>
      <c r="J631" s="4" t="s">
        <v>1108</v>
      </c>
      <c r="K631" s="3">
        <v>0</v>
      </c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2.75" customHeight="1" x14ac:dyDescent="0.2">
      <c r="A632" s="3">
        <v>2018</v>
      </c>
      <c r="B632" s="3" t="s">
        <v>1109</v>
      </c>
      <c r="C632" s="3" t="str">
        <f>VLOOKUP($B632, '[1]HURDAT Query'!$A$1:$F$1030, 3, 0)</f>
        <v>FLORENCE</v>
      </c>
      <c r="D632" s="3">
        <f>VLOOKUP($B632, '[1]HURDAT Query'!$A$1:$F$1030, 4, 0)</f>
        <v>4</v>
      </c>
      <c r="E632" s="3">
        <f>VLOOKUP($B632, '[1]HURDAT Query'!$A$1:$F$1030, 5, 0)</f>
        <v>130</v>
      </c>
      <c r="F632" s="3">
        <f>VLOOKUP($B632, '[1]HURDAT Query'!$A$1:$F$1030, 6, 0)</f>
        <v>937</v>
      </c>
      <c r="G632" s="3">
        <f>_xlfn.IFNA(VLOOKUP(B632, '[1]Landfall Stats'!A:G, 7, 0), "No LF")</f>
        <v>1</v>
      </c>
      <c r="H632" s="3">
        <f>_xlfn.IFNA(VLOOKUP(B632, '[1]Landfall Stats'!A:G, 5, 0), "No LF")</f>
        <v>80</v>
      </c>
      <c r="I632" s="3">
        <f>_xlfn.IFNA(VLOOKUP(B632, '[1]Landfall Stats'!A:G, 6, 0), "No LF")</f>
        <v>956</v>
      </c>
      <c r="J632" s="4" t="s">
        <v>1110</v>
      </c>
      <c r="K632" s="3">
        <v>22</v>
      </c>
      <c r="L632" s="3"/>
      <c r="M632" s="3"/>
      <c r="N632" s="3"/>
      <c r="O632" s="3"/>
      <c r="P632" s="3"/>
      <c r="Q632" s="3"/>
      <c r="R632" s="3"/>
      <c r="S632" s="3"/>
      <c r="T632" s="3">
        <v>17</v>
      </c>
      <c r="U632" s="3" t="s">
        <v>1111</v>
      </c>
      <c r="V632" s="3">
        <v>4</v>
      </c>
      <c r="W632" s="3" t="s">
        <v>290</v>
      </c>
      <c r="X632" s="3"/>
      <c r="Y632" s="3"/>
      <c r="Z632" s="3">
        <v>1</v>
      </c>
      <c r="AA632" s="3" t="s">
        <v>104</v>
      </c>
      <c r="AB632" s="3"/>
      <c r="AC632" s="3"/>
      <c r="AD632" s="3"/>
      <c r="AE632" s="3"/>
    </row>
    <row r="633" spans="1:31" ht="12.75" customHeight="1" x14ac:dyDescent="0.2">
      <c r="A633" s="3">
        <v>2018</v>
      </c>
      <c r="B633" s="3" t="s">
        <v>1112</v>
      </c>
      <c r="C633" s="3" t="str">
        <f>VLOOKUP($B633, '[1]HURDAT Query'!$A$1:$F$1030, 3, 0)</f>
        <v>GORDON</v>
      </c>
      <c r="D633" s="3" t="str">
        <f>VLOOKUP($B633, '[1]HURDAT Query'!$A$1:$F$1030, 4, 0)</f>
        <v>NA</v>
      </c>
      <c r="E633" s="3" t="str">
        <f>VLOOKUP($B633, '[1]HURDAT Query'!$A$1:$F$1030, 5, 0)</f>
        <v>NA</v>
      </c>
      <c r="F633" s="3" t="str">
        <f>VLOOKUP($B633, '[1]HURDAT Query'!$A$1:$F$1030, 6, 0)</f>
        <v>NA</v>
      </c>
      <c r="G633" s="3" t="str">
        <f>_xlfn.IFNA(VLOOKUP(B633, '[1]Landfall Stats'!A:G, 7, 0), "No LF")</f>
        <v>No LF</v>
      </c>
      <c r="H633" s="3" t="str">
        <f>_xlfn.IFNA(VLOOKUP(B633, '[1]Landfall Stats'!A:G, 5, 0), "No LF")</f>
        <v>No LF</v>
      </c>
      <c r="I633" s="3" t="str">
        <f>_xlfn.IFNA(VLOOKUP(B633, '[1]Landfall Stats'!A:G, 6, 0), "No LF")</f>
        <v>No LF</v>
      </c>
      <c r="J633" s="4" t="s">
        <v>1113</v>
      </c>
      <c r="K633" s="3">
        <v>1</v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>
        <v>1</v>
      </c>
      <c r="Y633" s="3" t="s">
        <v>51</v>
      </c>
      <c r="Z633" s="3"/>
      <c r="AA633" s="3"/>
      <c r="AB633" s="3"/>
      <c r="AC633" s="3"/>
      <c r="AD633" s="3"/>
      <c r="AE633" s="3"/>
    </row>
    <row r="634" spans="1:31" ht="12.75" customHeight="1" x14ac:dyDescent="0.2">
      <c r="A634" s="3">
        <v>2018</v>
      </c>
      <c r="B634" s="3" t="s">
        <v>1114</v>
      </c>
      <c r="C634" s="3" t="str">
        <f>VLOOKUP($B634, '[1]HURDAT Query'!$A$1:$F$1030, 3, 0)</f>
        <v>HELENE</v>
      </c>
      <c r="D634" s="3">
        <f>VLOOKUP($B634, '[1]HURDAT Query'!$A$1:$F$1030, 4, 0)</f>
        <v>2</v>
      </c>
      <c r="E634" s="3">
        <f>VLOOKUP($B634, '[1]HURDAT Query'!$A$1:$F$1030, 5, 0)</f>
        <v>95</v>
      </c>
      <c r="F634" s="3">
        <f>VLOOKUP($B634, '[1]HURDAT Query'!$A$1:$F$1030, 6, 0)</f>
        <v>967</v>
      </c>
      <c r="G634" s="3" t="str">
        <f>_xlfn.IFNA(VLOOKUP(B634, '[1]Landfall Stats'!A:G, 7, 0), "No LF")</f>
        <v>No LF</v>
      </c>
      <c r="H634" s="3" t="str">
        <f>_xlfn.IFNA(VLOOKUP(B634, '[1]Landfall Stats'!A:G, 5, 0), "No LF")</f>
        <v>No LF</v>
      </c>
      <c r="I634" s="3" t="str">
        <f>_xlfn.IFNA(VLOOKUP(B634, '[1]Landfall Stats'!A:G, 6, 0), "No LF")</f>
        <v>No LF</v>
      </c>
      <c r="J634" s="4" t="s">
        <v>1115</v>
      </c>
      <c r="K634" s="3">
        <v>0</v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2.75" customHeight="1" x14ac:dyDescent="0.2">
      <c r="A635" s="3">
        <v>2018</v>
      </c>
      <c r="B635" s="3" t="s">
        <v>1116</v>
      </c>
      <c r="C635" s="3" t="str">
        <f>VLOOKUP($B635, '[1]HURDAT Query'!$A$1:$F$1030, 3, 0)</f>
        <v>ISAAC</v>
      </c>
      <c r="D635" s="3">
        <f>VLOOKUP($B635, '[1]HURDAT Query'!$A$1:$F$1030, 4, 0)</f>
        <v>1</v>
      </c>
      <c r="E635" s="3">
        <f>VLOOKUP($B635, '[1]HURDAT Query'!$A$1:$F$1030, 5, 0)</f>
        <v>65</v>
      </c>
      <c r="F635" s="3">
        <f>VLOOKUP($B635, '[1]HURDAT Query'!$A$1:$F$1030, 6, 0)</f>
        <v>995</v>
      </c>
      <c r="G635" s="3" t="str">
        <f>_xlfn.IFNA(VLOOKUP(B635, '[1]Landfall Stats'!A:G, 7, 0), "No LF")</f>
        <v>No LF</v>
      </c>
      <c r="H635" s="3" t="str">
        <f>_xlfn.IFNA(VLOOKUP(B635, '[1]Landfall Stats'!A:G, 5, 0), "No LF")</f>
        <v>No LF</v>
      </c>
      <c r="I635" s="3" t="str">
        <f>_xlfn.IFNA(VLOOKUP(B635, '[1]Landfall Stats'!A:G, 6, 0), "No LF")</f>
        <v>No LF</v>
      </c>
      <c r="J635" s="4" t="s">
        <v>1117</v>
      </c>
      <c r="K635" s="3">
        <v>0</v>
      </c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2.75" customHeight="1" x14ac:dyDescent="0.2">
      <c r="A636" s="3">
        <v>2018</v>
      </c>
      <c r="B636" s="3" t="s">
        <v>1118</v>
      </c>
      <c r="C636" s="3" t="str">
        <f>VLOOKUP($B636, '[1]HURDAT Query'!$A$1:$F$1030, 3, 0)</f>
        <v>JOYCE</v>
      </c>
      <c r="D636" s="3" t="str">
        <f>VLOOKUP($B636, '[1]HURDAT Query'!$A$1:$F$1030, 4, 0)</f>
        <v>NA</v>
      </c>
      <c r="E636" s="3" t="str">
        <f>VLOOKUP($B636, '[1]HURDAT Query'!$A$1:$F$1030, 5, 0)</f>
        <v>NA</v>
      </c>
      <c r="F636" s="3" t="str">
        <f>VLOOKUP($B636, '[1]HURDAT Query'!$A$1:$F$1030, 6, 0)</f>
        <v>NA</v>
      </c>
      <c r="G636" s="3" t="str">
        <f>_xlfn.IFNA(VLOOKUP(B636, '[1]Landfall Stats'!A:G, 7, 0), "No LF")</f>
        <v>No LF</v>
      </c>
      <c r="H636" s="3" t="str">
        <f>_xlfn.IFNA(VLOOKUP(B636, '[1]Landfall Stats'!A:G, 5, 0), "No LF")</f>
        <v>No LF</v>
      </c>
      <c r="I636" s="3" t="str">
        <f>_xlfn.IFNA(VLOOKUP(B636, '[1]Landfall Stats'!A:G, 6, 0), "No LF")</f>
        <v>No LF</v>
      </c>
      <c r="J636" s="4" t="s">
        <v>1119</v>
      </c>
      <c r="K636" s="3">
        <v>0</v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2.75" customHeight="1" x14ac:dyDescent="0.2">
      <c r="A637" s="3">
        <v>2018</v>
      </c>
      <c r="B637" s="3" t="s">
        <v>1120</v>
      </c>
      <c r="C637" s="3" t="str">
        <f>VLOOKUP($B637, '[1]HURDAT Query'!$A$1:$F$1030, 3, 0)</f>
        <v>ELEVEN</v>
      </c>
      <c r="D637" s="3" t="str">
        <f>VLOOKUP($B637, '[1]HURDAT Query'!$A$1:$F$1030, 4, 0)</f>
        <v>NA</v>
      </c>
      <c r="E637" s="3" t="str">
        <f>VLOOKUP($B637, '[1]HURDAT Query'!$A$1:$F$1030, 5, 0)</f>
        <v>NA</v>
      </c>
      <c r="F637" s="3" t="str">
        <f>VLOOKUP($B637, '[1]HURDAT Query'!$A$1:$F$1030, 6, 0)</f>
        <v>NA</v>
      </c>
      <c r="G637" s="3" t="str">
        <f>_xlfn.IFNA(VLOOKUP(B637, '[1]Landfall Stats'!A:G, 7, 0), "No LF")</f>
        <v>No LF</v>
      </c>
      <c r="H637" s="3" t="str">
        <f>_xlfn.IFNA(VLOOKUP(B637, '[1]Landfall Stats'!A:G, 5, 0), "No LF")</f>
        <v>No LF</v>
      </c>
      <c r="I637" s="3" t="str">
        <f>_xlfn.IFNA(VLOOKUP(B637, '[1]Landfall Stats'!A:G, 6, 0), "No LF")</f>
        <v>No LF</v>
      </c>
      <c r="J637" s="4" t="s">
        <v>1121</v>
      </c>
      <c r="K637" s="3">
        <v>0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2.75" customHeight="1" x14ac:dyDescent="0.2">
      <c r="A638" s="3">
        <v>2018</v>
      </c>
      <c r="B638" s="3" t="s">
        <v>1122</v>
      </c>
      <c r="C638" s="3" t="str">
        <f>VLOOKUP($B638, '[1]HURDAT Query'!$A$1:$F$1030, 3, 0)</f>
        <v>KIRK</v>
      </c>
      <c r="D638" s="3" t="str">
        <f>VLOOKUP($B638, '[1]HURDAT Query'!$A$1:$F$1030, 4, 0)</f>
        <v>NA</v>
      </c>
      <c r="E638" s="3" t="str">
        <f>VLOOKUP($B638, '[1]HURDAT Query'!$A$1:$F$1030, 5, 0)</f>
        <v>NA</v>
      </c>
      <c r="F638" s="3" t="str">
        <f>VLOOKUP($B638, '[1]HURDAT Query'!$A$1:$F$1030, 6, 0)</f>
        <v>NA</v>
      </c>
      <c r="G638" s="3" t="str">
        <f>_xlfn.IFNA(VLOOKUP(B638, '[1]Landfall Stats'!A:G, 7, 0), "No LF")</f>
        <v>No LF</v>
      </c>
      <c r="H638" s="3" t="str">
        <f>_xlfn.IFNA(VLOOKUP(B638, '[1]Landfall Stats'!A:G, 5, 0), "No LF")</f>
        <v>No LF</v>
      </c>
      <c r="I638" s="3" t="str">
        <f>_xlfn.IFNA(VLOOKUP(B638, '[1]Landfall Stats'!A:G, 6, 0), "No LF")</f>
        <v>No LF</v>
      </c>
      <c r="J638" s="4" t="s">
        <v>1123</v>
      </c>
      <c r="K638" s="3">
        <v>0</v>
      </c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2.75" customHeight="1" x14ac:dyDescent="0.2">
      <c r="A639" s="3">
        <v>2018</v>
      </c>
      <c r="B639" s="3" t="s">
        <v>1124</v>
      </c>
      <c r="C639" s="3" t="str">
        <f>VLOOKUP($B639, '[1]HURDAT Query'!$A$1:$F$1030, 3, 0)</f>
        <v>LESLIE</v>
      </c>
      <c r="D639" s="3">
        <f>VLOOKUP($B639, '[1]HURDAT Query'!$A$1:$F$1030, 4, 0)</f>
        <v>1</v>
      </c>
      <c r="E639" s="3">
        <f>VLOOKUP($B639, '[1]HURDAT Query'!$A$1:$F$1030, 5, 0)</f>
        <v>80</v>
      </c>
      <c r="F639" s="3">
        <f>VLOOKUP($B639, '[1]HURDAT Query'!$A$1:$F$1030, 6, 0)</f>
        <v>968</v>
      </c>
      <c r="G639" s="3" t="str">
        <f>_xlfn.IFNA(VLOOKUP(B639, '[1]Landfall Stats'!A:G, 7, 0), "No LF")</f>
        <v>No LF</v>
      </c>
      <c r="H639" s="3" t="str">
        <f>_xlfn.IFNA(VLOOKUP(B639, '[1]Landfall Stats'!A:G, 5, 0), "No LF")</f>
        <v>No LF</v>
      </c>
      <c r="I639" s="3" t="str">
        <f>_xlfn.IFNA(VLOOKUP(B639, '[1]Landfall Stats'!A:G, 6, 0), "No LF")</f>
        <v>No LF</v>
      </c>
      <c r="J639" s="4" t="s">
        <v>1125</v>
      </c>
      <c r="K639" s="3">
        <v>0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2.75" customHeight="1" x14ac:dyDescent="0.2">
      <c r="A640" s="3">
        <v>2018</v>
      </c>
      <c r="B640" s="3" t="s">
        <v>1126</v>
      </c>
      <c r="C640" s="3" t="str">
        <f>VLOOKUP($B640, '[1]HURDAT Query'!$A$1:$F$1030, 3, 0)</f>
        <v>MICHAEL</v>
      </c>
      <c r="D640" s="3">
        <f>VLOOKUP($B640, '[1]HURDAT Query'!$A$1:$F$1030, 4, 0)</f>
        <v>5</v>
      </c>
      <c r="E640" s="3">
        <f>VLOOKUP($B640, '[1]HURDAT Query'!$A$1:$F$1030, 5, 0)</f>
        <v>140</v>
      </c>
      <c r="F640" s="3">
        <f>VLOOKUP($B640, '[1]HURDAT Query'!$A$1:$F$1030, 6, 0)</f>
        <v>919</v>
      </c>
      <c r="G640" s="3">
        <f>_xlfn.IFNA(VLOOKUP(B640, '[1]Landfall Stats'!A:G, 7, 0), "No LF")</f>
        <v>5</v>
      </c>
      <c r="H640" s="3">
        <f>_xlfn.IFNA(VLOOKUP(B640, '[1]Landfall Stats'!A:G, 5, 0), "No LF")</f>
        <v>140</v>
      </c>
      <c r="I640" s="3">
        <f>_xlfn.IFNA(VLOOKUP(B640, '[1]Landfall Stats'!A:G, 6, 0), "No LF")</f>
        <v>919</v>
      </c>
      <c r="J640" s="4" t="s">
        <v>1127</v>
      </c>
      <c r="K640" s="3">
        <v>16</v>
      </c>
      <c r="L640" s="3">
        <v>5</v>
      </c>
      <c r="M640" s="3" t="s">
        <v>51</v>
      </c>
      <c r="N640" s="3"/>
      <c r="O640" s="3"/>
      <c r="P640" s="3"/>
      <c r="Q640" s="3"/>
      <c r="R640" s="3"/>
      <c r="S640" s="3"/>
      <c r="T640" s="3">
        <v>5</v>
      </c>
      <c r="U640" s="3" t="s">
        <v>104</v>
      </c>
      <c r="V640" s="3"/>
      <c r="W640" s="3"/>
      <c r="X640" s="3">
        <v>6</v>
      </c>
      <c r="Y640" s="3" t="s">
        <v>1128</v>
      </c>
      <c r="Z640" s="3"/>
      <c r="AA640" s="3"/>
      <c r="AB640" s="3"/>
      <c r="AC640" s="3"/>
      <c r="AD640" s="3"/>
      <c r="AE640" s="3"/>
    </row>
    <row r="641" spans="1:31" ht="12.75" customHeight="1" x14ac:dyDescent="0.2">
      <c r="A641" s="3">
        <v>2018</v>
      </c>
      <c r="B641" s="3" t="s">
        <v>1129</v>
      </c>
      <c r="C641" s="3" t="str">
        <f>VLOOKUP($B641, '[1]HURDAT Query'!$A$1:$F$1030, 3, 0)</f>
        <v>NADINE</v>
      </c>
      <c r="D641" s="3" t="str">
        <f>VLOOKUP($B641, '[1]HURDAT Query'!$A$1:$F$1030, 4, 0)</f>
        <v>NA</v>
      </c>
      <c r="E641" s="3" t="str">
        <f>VLOOKUP($B641, '[1]HURDAT Query'!$A$1:$F$1030, 5, 0)</f>
        <v>NA</v>
      </c>
      <c r="F641" s="3" t="str">
        <f>VLOOKUP($B641, '[1]HURDAT Query'!$A$1:$F$1030, 6, 0)</f>
        <v>NA</v>
      </c>
      <c r="G641" s="3" t="str">
        <f>_xlfn.IFNA(VLOOKUP(B641, '[1]Landfall Stats'!A:G, 7, 0), "No LF")</f>
        <v>No LF</v>
      </c>
      <c r="H641" s="3" t="str">
        <f>_xlfn.IFNA(VLOOKUP(B641, '[1]Landfall Stats'!A:G, 5, 0), "No LF")</f>
        <v>No LF</v>
      </c>
      <c r="I641" s="3" t="str">
        <f>_xlfn.IFNA(VLOOKUP(B641, '[1]Landfall Stats'!A:G, 6, 0), "No LF")</f>
        <v>No LF</v>
      </c>
      <c r="J641" s="4" t="s">
        <v>1130</v>
      </c>
      <c r="K641" s="3">
        <v>0</v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2.75" customHeight="1" x14ac:dyDescent="0.2">
      <c r="A642" s="3">
        <v>2018</v>
      </c>
      <c r="B642" s="3" t="s">
        <v>1131</v>
      </c>
      <c r="C642" s="3" t="str">
        <f>VLOOKUP($B642, '[1]HURDAT Query'!$A$1:$F$1030, 3, 0)</f>
        <v>OSCAR</v>
      </c>
      <c r="D642" s="3">
        <f>VLOOKUP($B642, '[1]HURDAT Query'!$A$1:$F$1030, 4, 0)</f>
        <v>2</v>
      </c>
      <c r="E642" s="3">
        <f>VLOOKUP($B642, '[1]HURDAT Query'!$A$1:$F$1030, 5, 0)</f>
        <v>95</v>
      </c>
      <c r="F642" s="3">
        <f>VLOOKUP($B642, '[1]HURDAT Query'!$A$1:$F$1030, 6, 0)</f>
        <v>966</v>
      </c>
      <c r="G642" s="3" t="str">
        <f>_xlfn.IFNA(VLOOKUP(B642, '[1]Landfall Stats'!A:G, 7, 0), "No LF")</f>
        <v>No LF</v>
      </c>
      <c r="H642" s="3" t="str">
        <f>_xlfn.IFNA(VLOOKUP(B642, '[1]Landfall Stats'!A:G, 5, 0), "No LF")</f>
        <v>No LF</v>
      </c>
      <c r="I642" s="3" t="str">
        <f>_xlfn.IFNA(VLOOKUP(B642, '[1]Landfall Stats'!A:G, 6, 0), "No LF")</f>
        <v>No LF</v>
      </c>
      <c r="J642" s="4" t="s">
        <v>1132</v>
      </c>
      <c r="K642" s="3">
        <v>0</v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2.75" customHeight="1" x14ac:dyDescent="0.2">
      <c r="A643" s="3">
        <v>2019</v>
      </c>
      <c r="B643" s="3" t="s">
        <v>1133</v>
      </c>
      <c r="C643" s="3" t="str">
        <f>VLOOKUP($B643, '[1]HURDAT Query'!$A$1:$F$1030, 3, 0)</f>
        <v>ANDREA</v>
      </c>
      <c r="D643" s="3" t="str">
        <f>VLOOKUP($B643, '[1]HURDAT Query'!$A$1:$F$1030, 4, 0)</f>
        <v>NA</v>
      </c>
      <c r="E643" s="3" t="str">
        <f>VLOOKUP($B643, '[1]HURDAT Query'!$A$1:$F$1030, 5, 0)</f>
        <v>NA</v>
      </c>
      <c r="F643" s="3" t="str">
        <f>VLOOKUP($B643, '[1]HURDAT Query'!$A$1:$F$1030, 6, 0)</f>
        <v>NA</v>
      </c>
      <c r="G643" s="3" t="str">
        <f>_xlfn.IFNA(VLOOKUP(B643, '[1]Landfall Stats'!A:G, 7, 0), "No LF")</f>
        <v>No LF</v>
      </c>
      <c r="H643" s="3" t="str">
        <f>_xlfn.IFNA(VLOOKUP(B643, '[1]Landfall Stats'!A:G, 5, 0), "No LF")</f>
        <v>No LF</v>
      </c>
      <c r="I643" s="3" t="str">
        <f>_xlfn.IFNA(VLOOKUP(B643, '[1]Landfall Stats'!A:G, 6, 0), "No LF")</f>
        <v>No LF</v>
      </c>
      <c r="J643" s="4" t="s">
        <v>1134</v>
      </c>
      <c r="K643" s="3">
        <v>0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1.25" customHeight="1" x14ac:dyDescent="0.2">
      <c r="A644" s="3">
        <v>2019</v>
      </c>
      <c r="B644" s="3" t="s">
        <v>1135</v>
      </c>
      <c r="C644" s="3" t="str">
        <f>VLOOKUP($B644, '[1]HURDAT Query'!$A$1:$F$1030, 3, 0)</f>
        <v>BARRY</v>
      </c>
      <c r="D644" s="3">
        <f>VLOOKUP($B644, '[1]HURDAT Query'!$A$1:$F$1030, 4, 0)</f>
        <v>1</v>
      </c>
      <c r="E644" s="3">
        <f>VLOOKUP($B644, '[1]HURDAT Query'!$A$1:$F$1030, 5, 0)</f>
        <v>65</v>
      </c>
      <c r="F644" s="3">
        <f>VLOOKUP($B644, '[1]HURDAT Query'!$A$1:$F$1030, 6, 0)</f>
        <v>993</v>
      </c>
      <c r="G644" s="3">
        <f>_xlfn.IFNA(VLOOKUP(B644, '[1]Landfall Stats'!A:G, 7, 0), "No LF")</f>
        <v>1</v>
      </c>
      <c r="H644" s="3">
        <f>_xlfn.IFNA(VLOOKUP(B644, '[1]Landfall Stats'!A:G, 5, 0), "No LF")</f>
        <v>65</v>
      </c>
      <c r="I644" s="3">
        <f>_xlfn.IFNA(VLOOKUP(B644, '[1]Landfall Stats'!A:G, 6, 0), "No LF")</f>
        <v>993</v>
      </c>
      <c r="J644" s="4" t="s">
        <v>1136</v>
      </c>
      <c r="K644" s="3">
        <v>0</v>
      </c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2.75" customHeight="1" x14ac:dyDescent="0.2">
      <c r="A645" s="3">
        <v>2019</v>
      </c>
      <c r="B645" s="3" t="s">
        <v>1137</v>
      </c>
      <c r="C645" s="3" t="str">
        <f>VLOOKUP($B645, '[1]HURDAT Query'!$A$1:$F$1030, 3, 0)</f>
        <v>THREE</v>
      </c>
      <c r="D645" s="3" t="str">
        <f>VLOOKUP($B645, '[1]HURDAT Query'!$A$1:$F$1030, 4, 0)</f>
        <v>NA</v>
      </c>
      <c r="E645" s="3" t="str">
        <f>VLOOKUP($B645, '[1]HURDAT Query'!$A$1:$F$1030, 5, 0)</f>
        <v>NA</v>
      </c>
      <c r="F645" s="3" t="str">
        <f>VLOOKUP($B645, '[1]HURDAT Query'!$A$1:$F$1030, 6, 0)</f>
        <v>NA</v>
      </c>
      <c r="G645" s="3" t="str">
        <f>_xlfn.IFNA(VLOOKUP(B645, '[1]Landfall Stats'!A:G, 7, 0), "No LF")</f>
        <v>No LF</v>
      </c>
      <c r="H645" s="3" t="str">
        <f>_xlfn.IFNA(VLOOKUP(B645, '[1]Landfall Stats'!A:G, 5, 0), "No LF")</f>
        <v>No LF</v>
      </c>
      <c r="I645" s="3" t="str">
        <f>_xlfn.IFNA(VLOOKUP(B645, '[1]Landfall Stats'!A:G, 6, 0), "No LF")</f>
        <v>No LF</v>
      </c>
      <c r="J645" s="4" t="s">
        <v>1138</v>
      </c>
      <c r="K645" s="3">
        <v>0</v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2.75" customHeight="1" x14ac:dyDescent="0.2">
      <c r="A646" s="3">
        <v>2019</v>
      </c>
      <c r="B646" s="3" t="s">
        <v>1139</v>
      </c>
      <c r="C646" s="3" t="str">
        <f>VLOOKUP($B646, '[1]HURDAT Query'!$A$1:$F$1030, 3, 0)</f>
        <v>CHANTAL</v>
      </c>
      <c r="D646" s="3" t="str">
        <f>VLOOKUP($B646, '[1]HURDAT Query'!$A$1:$F$1030, 4, 0)</f>
        <v>NA</v>
      </c>
      <c r="E646" s="3" t="str">
        <f>VLOOKUP($B646, '[1]HURDAT Query'!$A$1:$F$1030, 5, 0)</f>
        <v>NA</v>
      </c>
      <c r="F646" s="3" t="str">
        <f>VLOOKUP($B646, '[1]HURDAT Query'!$A$1:$F$1030, 6, 0)</f>
        <v>NA</v>
      </c>
      <c r="G646" s="3" t="str">
        <f>_xlfn.IFNA(VLOOKUP(B646, '[1]Landfall Stats'!A:G, 7, 0), "No LF")</f>
        <v>No LF</v>
      </c>
      <c r="H646" s="3" t="str">
        <f>_xlfn.IFNA(VLOOKUP(B646, '[1]Landfall Stats'!A:G, 5, 0), "No LF")</f>
        <v>No LF</v>
      </c>
      <c r="I646" s="3" t="str">
        <f>_xlfn.IFNA(VLOOKUP(B646, '[1]Landfall Stats'!A:G, 6, 0), "No LF")</f>
        <v>No LF</v>
      </c>
      <c r="J646" s="4" t="s">
        <v>1140</v>
      </c>
      <c r="K646" s="3">
        <v>0</v>
      </c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2.75" customHeight="1" x14ac:dyDescent="0.2">
      <c r="A647" s="3">
        <v>2019</v>
      </c>
      <c r="B647" s="3" t="s">
        <v>1141</v>
      </c>
      <c r="C647" s="3" t="str">
        <f>VLOOKUP($B647, '[1]HURDAT Query'!$A$1:$F$1030, 3, 0)</f>
        <v>DORIAN</v>
      </c>
      <c r="D647" s="3">
        <f>VLOOKUP($B647, '[1]HURDAT Query'!$A$1:$F$1030, 4, 0)</f>
        <v>5</v>
      </c>
      <c r="E647" s="3">
        <f>VLOOKUP($B647, '[1]HURDAT Query'!$A$1:$F$1030, 5, 0)</f>
        <v>160</v>
      </c>
      <c r="F647" s="3">
        <f>VLOOKUP($B647, '[1]HURDAT Query'!$A$1:$F$1030, 6, 0)</f>
        <v>910</v>
      </c>
      <c r="G647" s="3">
        <f>_xlfn.IFNA(VLOOKUP(B647, '[1]Landfall Stats'!A:G, 7, 0), "No LF")</f>
        <v>2</v>
      </c>
      <c r="H647" s="3">
        <f>_xlfn.IFNA(VLOOKUP(B647, '[1]Landfall Stats'!A:G, 5, 0), "No LF")</f>
        <v>85</v>
      </c>
      <c r="I647" s="3">
        <f>_xlfn.IFNA(VLOOKUP(B647, '[1]Landfall Stats'!A:G, 6, 0), "No LF")</f>
        <v>956</v>
      </c>
      <c r="J647" s="4" t="s">
        <v>1142</v>
      </c>
      <c r="K647" s="3">
        <v>0</v>
      </c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2.75" customHeight="1" x14ac:dyDescent="0.2">
      <c r="A648" s="3">
        <v>2019</v>
      </c>
      <c r="B648" s="3" t="s">
        <v>1143</v>
      </c>
      <c r="C648" s="3" t="str">
        <f>VLOOKUP($B648, '[1]HURDAT Query'!$A$1:$F$1030, 3, 0)</f>
        <v>ERIN</v>
      </c>
      <c r="D648" s="3" t="str">
        <f>VLOOKUP($B648, '[1]HURDAT Query'!$A$1:$F$1030, 4, 0)</f>
        <v>NA</v>
      </c>
      <c r="E648" s="3" t="str">
        <f>VLOOKUP($B648, '[1]HURDAT Query'!$A$1:$F$1030, 5, 0)</f>
        <v>NA</v>
      </c>
      <c r="F648" s="3" t="str">
        <f>VLOOKUP($B648, '[1]HURDAT Query'!$A$1:$F$1030, 6, 0)</f>
        <v>NA</v>
      </c>
      <c r="G648" s="3" t="str">
        <f>_xlfn.IFNA(VLOOKUP(B648, '[1]Landfall Stats'!A:G, 7, 0), "No LF")</f>
        <v>No LF</v>
      </c>
      <c r="H648" s="3" t="str">
        <f>_xlfn.IFNA(VLOOKUP(B648, '[1]Landfall Stats'!A:G, 5, 0), "No LF")</f>
        <v>No LF</v>
      </c>
      <c r="I648" s="3" t="str">
        <f>_xlfn.IFNA(VLOOKUP(B648, '[1]Landfall Stats'!A:G, 6, 0), "No LF")</f>
        <v>No LF</v>
      </c>
      <c r="J648" s="4" t="s">
        <v>1144</v>
      </c>
      <c r="K648" s="3">
        <v>0</v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2.75" customHeight="1" x14ac:dyDescent="0.2">
      <c r="A649" s="3">
        <v>2019</v>
      </c>
      <c r="B649" s="3" t="s">
        <v>1145</v>
      </c>
      <c r="C649" s="3" t="str">
        <f>VLOOKUP($B649, '[1]HURDAT Query'!$A$1:$F$1030, 3, 0)</f>
        <v>FERNAND</v>
      </c>
      <c r="D649" s="3" t="str">
        <f>VLOOKUP($B649, '[1]HURDAT Query'!$A$1:$F$1030, 4, 0)</f>
        <v>NA</v>
      </c>
      <c r="E649" s="3" t="str">
        <f>VLOOKUP($B649, '[1]HURDAT Query'!$A$1:$F$1030, 5, 0)</f>
        <v>NA</v>
      </c>
      <c r="F649" s="3" t="str">
        <f>VLOOKUP($B649, '[1]HURDAT Query'!$A$1:$F$1030, 6, 0)</f>
        <v>NA</v>
      </c>
      <c r="G649" s="3" t="str">
        <f>_xlfn.IFNA(VLOOKUP(B649, '[1]Landfall Stats'!A:G, 7, 0), "No LF")</f>
        <v>No LF</v>
      </c>
      <c r="H649" s="3" t="str">
        <f>_xlfn.IFNA(VLOOKUP(B649, '[1]Landfall Stats'!A:G, 5, 0), "No LF")</f>
        <v>No LF</v>
      </c>
      <c r="I649" s="3" t="str">
        <f>_xlfn.IFNA(VLOOKUP(B649, '[1]Landfall Stats'!A:G, 6, 0), "No LF")</f>
        <v>No LF</v>
      </c>
      <c r="J649" s="4" t="s">
        <v>1146</v>
      </c>
      <c r="K649" s="3">
        <v>0</v>
      </c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2.75" customHeight="1" x14ac:dyDescent="0.2">
      <c r="A650" s="3">
        <v>2019</v>
      </c>
      <c r="B650" s="3" t="s">
        <v>1147</v>
      </c>
      <c r="C650" s="3" t="str">
        <f>VLOOKUP($B650, '[1]HURDAT Query'!$A$1:$F$1030, 3, 0)</f>
        <v>GABRIELLE</v>
      </c>
      <c r="D650" s="3" t="str">
        <f>VLOOKUP($B650, '[1]HURDAT Query'!$A$1:$F$1030, 4, 0)</f>
        <v>NA</v>
      </c>
      <c r="E650" s="3" t="str">
        <f>VLOOKUP($B650, '[1]HURDAT Query'!$A$1:$F$1030, 5, 0)</f>
        <v>NA</v>
      </c>
      <c r="F650" s="3" t="str">
        <f>VLOOKUP($B650, '[1]HURDAT Query'!$A$1:$F$1030, 6, 0)</f>
        <v>NA</v>
      </c>
      <c r="G650" s="3" t="str">
        <f>_xlfn.IFNA(VLOOKUP(B650, '[1]Landfall Stats'!A:G, 7, 0), "No LF")</f>
        <v>No LF</v>
      </c>
      <c r="H650" s="3" t="str">
        <f>_xlfn.IFNA(VLOOKUP(B650, '[1]Landfall Stats'!A:G, 5, 0), "No LF")</f>
        <v>No LF</v>
      </c>
      <c r="I650" s="3" t="str">
        <f>_xlfn.IFNA(VLOOKUP(B650, '[1]Landfall Stats'!A:G, 6, 0), "No LF")</f>
        <v>No LF</v>
      </c>
      <c r="J650" s="4" t="s">
        <v>1148</v>
      </c>
      <c r="K650" s="3">
        <v>0</v>
      </c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2.75" customHeight="1" x14ac:dyDescent="0.2">
      <c r="A651" s="3">
        <v>2019</v>
      </c>
      <c r="B651" s="3" t="s">
        <v>1149</v>
      </c>
      <c r="C651" s="3" t="str">
        <f>VLOOKUP($B651, '[1]HURDAT Query'!$A$1:$F$1030, 3, 0)</f>
        <v>HUMBERTO</v>
      </c>
      <c r="D651" s="3">
        <f>VLOOKUP($B651, '[1]HURDAT Query'!$A$1:$F$1030, 4, 0)</f>
        <v>3</v>
      </c>
      <c r="E651" s="3">
        <f>VLOOKUP($B651, '[1]HURDAT Query'!$A$1:$F$1030, 5, 0)</f>
        <v>110</v>
      </c>
      <c r="F651" s="3">
        <f>VLOOKUP($B651, '[1]HURDAT Query'!$A$1:$F$1030, 6, 0)</f>
        <v>950</v>
      </c>
      <c r="G651" s="3" t="str">
        <f>_xlfn.IFNA(VLOOKUP(B651, '[1]Landfall Stats'!A:G, 7, 0), "No LF")</f>
        <v>No LF</v>
      </c>
      <c r="H651" s="3" t="str">
        <f>_xlfn.IFNA(VLOOKUP(B651, '[1]Landfall Stats'!A:G, 5, 0), "No LF")</f>
        <v>No LF</v>
      </c>
      <c r="I651" s="3" t="str">
        <f>_xlfn.IFNA(VLOOKUP(B651, '[1]Landfall Stats'!A:G, 6, 0), "No LF")</f>
        <v>No LF</v>
      </c>
      <c r="J651" s="4" t="s">
        <v>1150</v>
      </c>
      <c r="K651" s="3">
        <v>2</v>
      </c>
      <c r="L651" s="3"/>
      <c r="M651" s="3"/>
      <c r="N651" s="3">
        <v>1</v>
      </c>
      <c r="O651" s="3" t="s">
        <v>51</v>
      </c>
      <c r="P651" s="3"/>
      <c r="Q651" s="3"/>
      <c r="R651" s="3">
        <v>1</v>
      </c>
      <c r="S651" s="3" t="s">
        <v>290</v>
      </c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2.75" customHeight="1" x14ac:dyDescent="0.2">
      <c r="A652" s="3">
        <v>2019</v>
      </c>
      <c r="B652" s="3" t="s">
        <v>1151</v>
      </c>
      <c r="C652" s="3" t="str">
        <f>VLOOKUP($B652, '[1]HURDAT Query'!$A$1:$F$1030, 3, 0)</f>
        <v>JERRY</v>
      </c>
      <c r="D652" s="3">
        <f>VLOOKUP($B652, '[1]HURDAT Query'!$A$1:$F$1030, 4, 0)</f>
        <v>2</v>
      </c>
      <c r="E652" s="3">
        <f>VLOOKUP($B652, '[1]HURDAT Query'!$A$1:$F$1030, 5, 0)</f>
        <v>90</v>
      </c>
      <c r="F652" s="3">
        <f>VLOOKUP($B652, '[1]HURDAT Query'!$A$1:$F$1030, 6, 0)</f>
        <v>976</v>
      </c>
      <c r="G652" s="3" t="str">
        <f>_xlfn.IFNA(VLOOKUP(B652, '[1]Landfall Stats'!A:G, 7, 0), "No LF")</f>
        <v>No LF</v>
      </c>
      <c r="H652" s="3" t="str">
        <f>_xlfn.IFNA(VLOOKUP(B652, '[1]Landfall Stats'!A:G, 5, 0), "No LF")</f>
        <v>No LF</v>
      </c>
      <c r="I652" s="3" t="str">
        <f>_xlfn.IFNA(VLOOKUP(B652, '[1]Landfall Stats'!A:G, 6, 0), "No LF")</f>
        <v>No LF</v>
      </c>
      <c r="J652" s="4" t="s">
        <v>1152</v>
      </c>
      <c r="K652" s="3">
        <v>0</v>
      </c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2.75" customHeight="1" x14ac:dyDescent="0.2">
      <c r="A653" s="3">
        <v>2019</v>
      </c>
      <c r="B653" s="3" t="s">
        <v>1153</v>
      </c>
      <c r="C653" s="3" t="str">
        <f>VLOOKUP($B653, '[1]HURDAT Query'!$A$1:$F$1030, 3, 0)</f>
        <v>IMELDA</v>
      </c>
      <c r="D653" s="3" t="str">
        <f>VLOOKUP($B653, '[1]HURDAT Query'!$A$1:$F$1030, 4, 0)</f>
        <v>NA</v>
      </c>
      <c r="E653" s="3" t="str">
        <f>VLOOKUP($B653, '[1]HURDAT Query'!$A$1:$F$1030, 5, 0)</f>
        <v>NA</v>
      </c>
      <c r="F653" s="3" t="str">
        <f>VLOOKUP($B653, '[1]HURDAT Query'!$A$1:$F$1030, 6, 0)</f>
        <v>NA</v>
      </c>
      <c r="G653" s="3" t="str">
        <f>_xlfn.IFNA(VLOOKUP(B653, '[1]Landfall Stats'!A:G, 7, 0), "No LF")</f>
        <v>NA</v>
      </c>
      <c r="H653" s="3">
        <f>_xlfn.IFNA(VLOOKUP(B653, '[1]Landfall Stats'!A:G, 5, 0), "No LF")</f>
        <v>40</v>
      </c>
      <c r="I653" s="3">
        <f>_xlfn.IFNA(VLOOKUP(B653, '[1]Landfall Stats'!A:G, 6, 0), "No LF")</f>
        <v>1003</v>
      </c>
      <c r="J653" s="4" t="s">
        <v>1154</v>
      </c>
      <c r="K653" s="3">
        <v>5</v>
      </c>
      <c r="L653" s="3"/>
      <c r="M653" s="3"/>
      <c r="N653" s="3"/>
      <c r="O653" s="3"/>
      <c r="P653" s="3"/>
      <c r="Q653" s="3"/>
      <c r="R653" s="3"/>
      <c r="S653" s="3"/>
      <c r="T653" s="3">
        <v>5</v>
      </c>
      <c r="U653" s="3" t="s">
        <v>38</v>
      </c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2.75" customHeight="1" x14ac:dyDescent="0.2">
      <c r="A654" s="3">
        <v>2019</v>
      </c>
      <c r="B654" s="3" t="s">
        <v>1155</v>
      </c>
      <c r="C654" s="3" t="str">
        <f>VLOOKUP($B654, '[1]HURDAT Query'!$A$1:$F$1030, 3, 0)</f>
        <v>KAREN</v>
      </c>
      <c r="D654" s="3" t="str">
        <f>VLOOKUP($B654, '[1]HURDAT Query'!$A$1:$F$1030, 4, 0)</f>
        <v>NA</v>
      </c>
      <c r="E654" s="3" t="str">
        <f>VLOOKUP($B654, '[1]HURDAT Query'!$A$1:$F$1030, 5, 0)</f>
        <v>NA</v>
      </c>
      <c r="F654" s="3" t="str">
        <f>VLOOKUP($B654, '[1]HURDAT Query'!$A$1:$F$1030, 6, 0)</f>
        <v>NA</v>
      </c>
      <c r="G654" s="3" t="str">
        <f>_xlfn.IFNA(VLOOKUP(B654, '[1]Landfall Stats'!A:G, 7, 0), "No LF")</f>
        <v>No LF</v>
      </c>
      <c r="H654" s="3" t="str">
        <f>_xlfn.IFNA(VLOOKUP(B654, '[1]Landfall Stats'!A:G, 5, 0), "No LF")</f>
        <v>No LF</v>
      </c>
      <c r="I654" s="3" t="str">
        <f>_xlfn.IFNA(VLOOKUP(B654, '[1]Landfall Stats'!A:G, 6, 0), "No LF")</f>
        <v>No LF</v>
      </c>
      <c r="J654" s="4" t="s">
        <v>1156</v>
      </c>
      <c r="K654" s="3">
        <v>0</v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2.75" customHeight="1" x14ac:dyDescent="0.2">
      <c r="A655" s="3">
        <v>2019</v>
      </c>
      <c r="B655" s="3" t="s">
        <v>1157</v>
      </c>
      <c r="C655" s="3" t="str">
        <f>VLOOKUP($B655, '[1]HURDAT Query'!$A$1:$F$1030, 3, 0)</f>
        <v>LORENZO</v>
      </c>
      <c r="D655" s="3">
        <f>VLOOKUP($B655, '[1]HURDAT Query'!$A$1:$F$1030, 4, 0)</f>
        <v>5</v>
      </c>
      <c r="E655" s="3">
        <f>VLOOKUP($B655, '[1]HURDAT Query'!$A$1:$F$1030, 5, 0)</f>
        <v>140</v>
      </c>
      <c r="F655" s="3">
        <f>VLOOKUP($B655, '[1]HURDAT Query'!$A$1:$F$1030, 6, 0)</f>
        <v>925</v>
      </c>
      <c r="G655" s="3" t="str">
        <f>_xlfn.IFNA(VLOOKUP(B655, '[1]Landfall Stats'!A:G, 7, 0), "No LF")</f>
        <v>No LF</v>
      </c>
      <c r="H655" s="3" t="str">
        <f>_xlfn.IFNA(VLOOKUP(B655, '[1]Landfall Stats'!A:G, 5, 0), "No LF")</f>
        <v>No LF</v>
      </c>
      <c r="I655" s="3" t="str">
        <f>_xlfn.IFNA(VLOOKUP(B655, '[1]Landfall Stats'!A:G, 6, 0), "No LF")</f>
        <v>No LF</v>
      </c>
      <c r="J655" s="4" t="s">
        <v>1158</v>
      </c>
      <c r="K655" s="3">
        <v>8</v>
      </c>
      <c r="L655" s="3"/>
      <c r="M655" s="3"/>
      <c r="N655" s="3">
        <v>2</v>
      </c>
      <c r="O655" s="3" t="s">
        <v>1159</v>
      </c>
      <c r="P655" s="3"/>
      <c r="Q655" s="3"/>
      <c r="R655" s="3">
        <v>6</v>
      </c>
      <c r="S655" s="3" t="s">
        <v>1160</v>
      </c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2.75" customHeight="1" x14ac:dyDescent="0.2">
      <c r="A656" s="3">
        <v>2019</v>
      </c>
      <c r="B656" s="3" t="s">
        <v>1161</v>
      </c>
      <c r="C656" s="3" t="str">
        <f>VLOOKUP($B656, '[1]HURDAT Query'!$A$1:$F$1030, 3, 0)</f>
        <v>MELISSA</v>
      </c>
      <c r="D656" s="3" t="str">
        <f>VLOOKUP($B656, '[1]HURDAT Query'!$A$1:$F$1030, 4, 0)</f>
        <v>NA</v>
      </c>
      <c r="E656" s="3" t="str">
        <f>VLOOKUP($B656, '[1]HURDAT Query'!$A$1:$F$1030, 5, 0)</f>
        <v>NA</v>
      </c>
      <c r="F656" s="3" t="str">
        <f>VLOOKUP($B656, '[1]HURDAT Query'!$A$1:$F$1030, 6, 0)</f>
        <v>NA</v>
      </c>
      <c r="G656" s="3" t="str">
        <f>_xlfn.IFNA(VLOOKUP(B656, '[1]Landfall Stats'!A:G, 7, 0), "No LF")</f>
        <v>No LF</v>
      </c>
      <c r="H656" s="3" t="str">
        <f>_xlfn.IFNA(VLOOKUP(B656, '[1]Landfall Stats'!A:G, 5, 0), "No LF")</f>
        <v>No LF</v>
      </c>
      <c r="I656" s="3" t="str">
        <f>_xlfn.IFNA(VLOOKUP(B656, '[1]Landfall Stats'!A:G, 6, 0), "No LF")</f>
        <v>No LF</v>
      </c>
      <c r="J656" s="4" t="s">
        <v>1162</v>
      </c>
      <c r="K656" s="3">
        <v>0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2.75" customHeight="1" x14ac:dyDescent="0.2">
      <c r="A657" s="3">
        <v>2019</v>
      </c>
      <c r="B657" s="3" t="s">
        <v>1163</v>
      </c>
      <c r="C657" s="3" t="str">
        <f>VLOOKUP($B657, '[1]HURDAT Query'!$A$1:$F$1030, 3, 0)</f>
        <v>FIFTEEN</v>
      </c>
      <c r="D657" s="3" t="str">
        <f>VLOOKUP($B657, '[1]HURDAT Query'!$A$1:$F$1030, 4, 0)</f>
        <v>NA</v>
      </c>
      <c r="E657" s="3" t="str">
        <f>VLOOKUP($B657, '[1]HURDAT Query'!$A$1:$F$1030, 5, 0)</f>
        <v>NA</v>
      </c>
      <c r="F657" s="3" t="str">
        <f>VLOOKUP($B657, '[1]HURDAT Query'!$A$1:$F$1030, 6, 0)</f>
        <v>NA</v>
      </c>
      <c r="G657" s="3" t="str">
        <f>_xlfn.IFNA(VLOOKUP(B657, '[1]Landfall Stats'!A:G, 7, 0), "No LF")</f>
        <v>No LF</v>
      </c>
      <c r="H657" s="3" t="str">
        <f>_xlfn.IFNA(VLOOKUP(B657, '[1]Landfall Stats'!A:G, 5, 0), "No LF")</f>
        <v>No LF</v>
      </c>
      <c r="I657" s="3" t="str">
        <f>_xlfn.IFNA(VLOOKUP(B657, '[1]Landfall Stats'!A:G, 6, 0), "No LF")</f>
        <v>No LF</v>
      </c>
      <c r="J657" s="4" t="s">
        <v>1164</v>
      </c>
      <c r="K657" s="3">
        <v>0</v>
      </c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2.75" customHeight="1" x14ac:dyDescent="0.2">
      <c r="A658" s="3">
        <v>2019</v>
      </c>
      <c r="B658" s="3" t="s">
        <v>1165</v>
      </c>
      <c r="C658" s="3" t="str">
        <f>VLOOKUP($B658, '[1]HURDAT Query'!$A$1:$F$1030, 3, 0)</f>
        <v>NESTOR</v>
      </c>
      <c r="D658" s="3" t="str">
        <f>VLOOKUP($B658, '[1]HURDAT Query'!$A$1:$F$1030, 4, 0)</f>
        <v>NA</v>
      </c>
      <c r="E658" s="3" t="str">
        <f>VLOOKUP($B658, '[1]HURDAT Query'!$A$1:$F$1030, 5, 0)</f>
        <v>NA</v>
      </c>
      <c r="F658" s="3" t="str">
        <f>VLOOKUP($B658, '[1]HURDAT Query'!$A$1:$F$1030, 6, 0)</f>
        <v>NA</v>
      </c>
      <c r="G658" s="3" t="str">
        <f>_xlfn.IFNA(VLOOKUP(B658, '[1]Landfall Stats'!A:G, 7, 0), "No LF")</f>
        <v>NA</v>
      </c>
      <c r="H658" s="3">
        <f>_xlfn.IFNA(VLOOKUP(B658, '[1]Landfall Stats'!A:G, 5, 0), "No LF")</f>
        <v>40</v>
      </c>
      <c r="I658" s="3">
        <f>_xlfn.IFNA(VLOOKUP(B658, '[1]Landfall Stats'!A:G, 6, 0), "No LF")</f>
        <v>996</v>
      </c>
      <c r="J658" s="4" t="s">
        <v>1166</v>
      </c>
      <c r="K658" s="3">
        <v>0</v>
      </c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2.75" customHeight="1" x14ac:dyDescent="0.2">
      <c r="A659" s="3">
        <v>2019</v>
      </c>
      <c r="B659" s="3" t="s">
        <v>1167</v>
      </c>
      <c r="C659" s="3" t="str">
        <f>VLOOKUP($B659, '[1]HURDAT Query'!$A$1:$F$1030, 3, 0)</f>
        <v>OLGA</v>
      </c>
      <c r="D659" s="3" t="str">
        <f>VLOOKUP($B659, '[1]HURDAT Query'!$A$1:$F$1030, 4, 0)</f>
        <v>NA</v>
      </c>
      <c r="E659" s="3" t="str">
        <f>VLOOKUP($B659, '[1]HURDAT Query'!$A$1:$F$1030, 5, 0)</f>
        <v>NA</v>
      </c>
      <c r="F659" s="3" t="str">
        <f>VLOOKUP($B659, '[1]HURDAT Query'!$A$1:$F$1030, 6, 0)</f>
        <v>NA</v>
      </c>
      <c r="G659" s="3" t="str">
        <f>_xlfn.IFNA(VLOOKUP(B659, '[1]Landfall Stats'!A:G, 7, 0), "No LF")</f>
        <v>NA</v>
      </c>
      <c r="H659" s="3">
        <f>_xlfn.IFNA(VLOOKUP(B659, '[1]Landfall Stats'!A:G, 5, 0), "No LF")</f>
        <v>45</v>
      </c>
      <c r="I659" s="3">
        <f>_xlfn.IFNA(VLOOKUP(B659, '[1]Landfall Stats'!A:G, 6, 0), "No LF")</f>
        <v>994</v>
      </c>
      <c r="J659" s="4" t="s">
        <v>1168</v>
      </c>
      <c r="K659" s="3">
        <v>1</v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>
        <v>1</v>
      </c>
      <c r="Y659" s="3" t="s">
        <v>582</v>
      </c>
      <c r="Z659" s="3"/>
      <c r="AA659" s="3"/>
      <c r="AB659" s="3"/>
      <c r="AC659" s="3"/>
      <c r="AD659" s="3"/>
      <c r="AE659" s="3"/>
    </row>
    <row r="660" spans="1:31" ht="12.75" customHeight="1" x14ac:dyDescent="0.2">
      <c r="A660" s="3">
        <v>2019</v>
      </c>
      <c r="B660" s="3" t="s">
        <v>1169</v>
      </c>
      <c r="C660" s="3" t="str">
        <f>VLOOKUP($B660, '[1]HURDAT Query'!$A$1:$F$1030, 3, 0)</f>
        <v>PABLO</v>
      </c>
      <c r="D660" s="3">
        <f>VLOOKUP($B660, '[1]HURDAT Query'!$A$1:$F$1030, 4, 0)</f>
        <v>1</v>
      </c>
      <c r="E660" s="3">
        <f>VLOOKUP($B660, '[1]HURDAT Query'!$A$1:$F$1030, 5, 0)</f>
        <v>70</v>
      </c>
      <c r="F660" s="3">
        <f>VLOOKUP($B660, '[1]HURDAT Query'!$A$1:$F$1030, 6, 0)</f>
        <v>977</v>
      </c>
      <c r="G660" s="3" t="str">
        <f>_xlfn.IFNA(VLOOKUP(B660, '[1]Landfall Stats'!A:G, 7, 0), "No LF")</f>
        <v>No LF</v>
      </c>
      <c r="H660" s="3" t="str">
        <f>_xlfn.IFNA(VLOOKUP(B660, '[1]Landfall Stats'!A:G, 5, 0), "No LF")</f>
        <v>No LF</v>
      </c>
      <c r="I660" s="3" t="str">
        <f>_xlfn.IFNA(VLOOKUP(B660, '[1]Landfall Stats'!A:G, 6, 0), "No LF")</f>
        <v>No LF</v>
      </c>
      <c r="J660" s="4" t="s">
        <v>1170</v>
      </c>
      <c r="K660" s="3">
        <v>0</v>
      </c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2.75" customHeight="1" x14ac:dyDescent="0.2">
      <c r="A661" s="3">
        <v>2019</v>
      </c>
      <c r="B661" s="3" t="s">
        <v>1171</v>
      </c>
      <c r="C661" s="3" t="str">
        <f>VLOOKUP($B661, '[1]HURDAT Query'!$A$1:$F$1030, 3, 0)</f>
        <v>REBEKAH</v>
      </c>
      <c r="D661" s="3" t="str">
        <f>VLOOKUP($B661, '[1]HURDAT Query'!$A$1:$F$1030, 4, 0)</f>
        <v>NA</v>
      </c>
      <c r="E661" s="3" t="str">
        <f>VLOOKUP($B661, '[1]HURDAT Query'!$A$1:$F$1030, 5, 0)</f>
        <v>NA</v>
      </c>
      <c r="F661" s="3" t="str">
        <f>VLOOKUP($B661, '[1]HURDAT Query'!$A$1:$F$1030, 6, 0)</f>
        <v>NA</v>
      </c>
      <c r="G661" s="3" t="str">
        <f>_xlfn.IFNA(VLOOKUP(B661, '[1]Landfall Stats'!A:G, 7, 0), "No LF")</f>
        <v>No LF</v>
      </c>
      <c r="H661" s="3" t="str">
        <f>_xlfn.IFNA(VLOOKUP(B661, '[1]Landfall Stats'!A:G, 5, 0), "No LF")</f>
        <v>No LF</v>
      </c>
      <c r="I661" s="3" t="str">
        <f>_xlfn.IFNA(VLOOKUP(B661, '[1]Landfall Stats'!A:G, 6, 0), "No LF")</f>
        <v>No LF</v>
      </c>
      <c r="J661" s="4" t="s">
        <v>1172</v>
      </c>
      <c r="K661" s="3">
        <v>0</v>
      </c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2.75" customHeight="1" x14ac:dyDescent="0.2">
      <c r="A662" s="3">
        <v>2019</v>
      </c>
      <c r="B662" s="3" t="s">
        <v>1173</v>
      </c>
      <c r="C662" s="3" t="str">
        <f>VLOOKUP($B662, '[1]HURDAT Query'!$A$1:$F$1030, 3, 0)</f>
        <v>SEBASTIEN</v>
      </c>
      <c r="D662" s="3" t="str">
        <f>VLOOKUP($B662, '[1]HURDAT Query'!$A$1:$F$1030, 4, 0)</f>
        <v>NA</v>
      </c>
      <c r="E662" s="3" t="str">
        <f>VLOOKUP($B662, '[1]HURDAT Query'!$A$1:$F$1030, 5, 0)</f>
        <v>NA</v>
      </c>
      <c r="F662" s="3" t="str">
        <f>VLOOKUP($B662, '[1]HURDAT Query'!$A$1:$F$1030, 6, 0)</f>
        <v>NA</v>
      </c>
      <c r="G662" s="3" t="str">
        <f>_xlfn.IFNA(VLOOKUP(B662, '[1]Landfall Stats'!A:G, 7, 0), "No LF")</f>
        <v>No LF</v>
      </c>
      <c r="H662" s="3" t="str">
        <f>_xlfn.IFNA(VLOOKUP(B662, '[1]Landfall Stats'!A:G, 5, 0), "No LF")</f>
        <v>No LF</v>
      </c>
      <c r="I662" s="3" t="str">
        <f>_xlfn.IFNA(VLOOKUP(B662, '[1]Landfall Stats'!A:G, 6, 0), "No LF")</f>
        <v>No LF</v>
      </c>
      <c r="J662" s="4" t="s">
        <v>1174</v>
      </c>
      <c r="K662" s="3">
        <v>0</v>
      </c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2.75" customHeight="1" x14ac:dyDescent="0.2">
      <c r="A663" s="3">
        <v>2020</v>
      </c>
      <c r="B663" s="3" t="s">
        <v>1175</v>
      </c>
      <c r="C663" s="3" t="str">
        <f>VLOOKUP($B663, '[1]HURDAT Query'!$A$1:$F$1030, 3, 0)</f>
        <v>ARTHUR</v>
      </c>
      <c r="D663" s="3" t="str">
        <f>VLOOKUP($B663, '[1]HURDAT Query'!$A$1:$F$1030, 4, 0)</f>
        <v>NA</v>
      </c>
      <c r="E663" s="3" t="str">
        <f>VLOOKUP($B663, '[1]HURDAT Query'!$A$1:$F$1030, 5, 0)</f>
        <v>NA</v>
      </c>
      <c r="F663" s="3" t="str">
        <f>VLOOKUP($B663, '[1]HURDAT Query'!$A$1:$F$1030, 6, 0)</f>
        <v>NA</v>
      </c>
      <c r="G663" s="3" t="str">
        <f>_xlfn.IFNA(VLOOKUP(B663, '[1]Landfall Stats'!A:G, 7, 0), "No LF")</f>
        <v>No LF</v>
      </c>
      <c r="H663" s="3" t="str">
        <f>_xlfn.IFNA(VLOOKUP(B663, '[1]Landfall Stats'!A:G, 5, 0), "No LF")</f>
        <v>No LF</v>
      </c>
      <c r="I663" s="3" t="str">
        <f>_xlfn.IFNA(VLOOKUP(B663, '[1]Landfall Stats'!A:G, 6, 0), "No LF")</f>
        <v>No LF</v>
      </c>
      <c r="J663" s="4" t="s">
        <v>1176</v>
      </c>
      <c r="K663" s="3">
        <v>0</v>
      </c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2.75" customHeight="1" x14ac:dyDescent="0.2">
      <c r="A664" s="3">
        <v>2020</v>
      </c>
      <c r="B664" s="3" t="s">
        <v>1177</v>
      </c>
      <c r="C664" s="3" t="str">
        <f>VLOOKUP($B664, '[1]HURDAT Query'!$A$1:$F$1030, 3, 0)</f>
        <v>BERTHA</v>
      </c>
      <c r="D664" s="3" t="str">
        <f>VLOOKUP($B664, '[1]HURDAT Query'!$A$1:$F$1030, 4, 0)</f>
        <v>NA</v>
      </c>
      <c r="E664" s="3" t="str">
        <f>VLOOKUP($B664, '[1]HURDAT Query'!$A$1:$F$1030, 5, 0)</f>
        <v>NA</v>
      </c>
      <c r="F664" s="3" t="str">
        <f>VLOOKUP($B664, '[1]HURDAT Query'!$A$1:$F$1030, 6, 0)</f>
        <v>NA</v>
      </c>
      <c r="G664" s="3" t="str">
        <f>_xlfn.IFNA(VLOOKUP(B664, '[1]Landfall Stats'!A:G, 7, 0), "No LF")</f>
        <v>No LF</v>
      </c>
      <c r="H664" s="3" t="str">
        <f>_xlfn.IFNA(VLOOKUP(B664, '[1]Landfall Stats'!A:G, 5, 0), "No LF")</f>
        <v>No LF</v>
      </c>
      <c r="I664" s="3" t="str">
        <f>_xlfn.IFNA(VLOOKUP(B664, '[1]Landfall Stats'!A:G, 6, 0), "No LF")</f>
        <v>No LF</v>
      </c>
      <c r="J664" s="4" t="s">
        <v>1178</v>
      </c>
      <c r="K664" s="3">
        <v>0</v>
      </c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2.75" customHeight="1" x14ac:dyDescent="0.2">
      <c r="A665" s="3">
        <v>2020</v>
      </c>
      <c r="B665" s="3" t="s">
        <v>1179</v>
      </c>
      <c r="C665" s="3" t="str">
        <f>VLOOKUP($B665, '[1]HURDAT Query'!$A$1:$F$1030, 3, 0)</f>
        <v>CRISTOBAL</v>
      </c>
      <c r="D665" s="3" t="str">
        <f>VLOOKUP($B665, '[1]HURDAT Query'!$A$1:$F$1030, 4, 0)</f>
        <v>NA</v>
      </c>
      <c r="E665" s="3" t="str">
        <f>VLOOKUP($B665, '[1]HURDAT Query'!$A$1:$F$1030, 5, 0)</f>
        <v>NA</v>
      </c>
      <c r="F665" s="3" t="str">
        <f>VLOOKUP($B665, '[1]HURDAT Query'!$A$1:$F$1030, 6, 0)</f>
        <v>NA</v>
      </c>
      <c r="G665" s="3" t="str">
        <f>_xlfn.IFNA(VLOOKUP(B665, '[1]Landfall Stats'!A:G, 7, 0), "No LF")</f>
        <v>No LF</v>
      </c>
      <c r="H665" s="3" t="str">
        <f>_xlfn.IFNA(VLOOKUP(B665, '[1]Landfall Stats'!A:G, 5, 0), "No LF")</f>
        <v>No LF</v>
      </c>
      <c r="I665" s="3" t="str">
        <f>_xlfn.IFNA(VLOOKUP(B665, '[1]Landfall Stats'!A:G, 6, 0), "No LF")</f>
        <v>No LF</v>
      </c>
      <c r="J665" s="4" t="s">
        <v>1180</v>
      </c>
      <c r="K665" s="3">
        <v>3</v>
      </c>
      <c r="L665" s="3"/>
      <c r="M665" s="3"/>
      <c r="N665" s="3">
        <v>1</v>
      </c>
      <c r="O665" s="3" t="s">
        <v>38</v>
      </c>
      <c r="P665" s="3"/>
      <c r="Q665" s="3"/>
      <c r="R665" s="3">
        <v>2</v>
      </c>
      <c r="S665" s="3" t="s">
        <v>37</v>
      </c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2.75" customHeight="1" x14ac:dyDescent="0.2">
      <c r="A666" s="3">
        <v>2020</v>
      </c>
      <c r="B666" s="3" t="s">
        <v>1181</v>
      </c>
      <c r="C666" s="3" t="str">
        <f>VLOOKUP($B666, '[1]HURDAT Query'!$A$1:$F$1030, 3, 0)</f>
        <v>DOLLY</v>
      </c>
      <c r="D666" s="3" t="str">
        <f>VLOOKUP($B666, '[1]HURDAT Query'!$A$1:$F$1030, 4, 0)</f>
        <v>NA</v>
      </c>
      <c r="E666" s="3" t="str">
        <f>VLOOKUP($B666, '[1]HURDAT Query'!$A$1:$F$1030, 5, 0)</f>
        <v>NA</v>
      </c>
      <c r="F666" s="3" t="str">
        <f>VLOOKUP($B666, '[1]HURDAT Query'!$A$1:$F$1030, 6, 0)</f>
        <v>NA</v>
      </c>
      <c r="G666" s="3" t="str">
        <f>_xlfn.IFNA(VLOOKUP(B666, '[1]Landfall Stats'!A:G, 7, 0), "No LF")</f>
        <v>No LF</v>
      </c>
      <c r="H666" s="3" t="str">
        <f>_xlfn.IFNA(VLOOKUP(B666, '[1]Landfall Stats'!A:G, 5, 0), "No LF")</f>
        <v>No LF</v>
      </c>
      <c r="I666" s="3" t="str">
        <f>_xlfn.IFNA(VLOOKUP(B666, '[1]Landfall Stats'!A:G, 6, 0), "No LF")</f>
        <v>No LF</v>
      </c>
      <c r="J666" s="4" t="s">
        <v>1182</v>
      </c>
      <c r="K666" s="3">
        <v>0</v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2.75" customHeight="1" x14ac:dyDescent="0.2">
      <c r="A667" s="3">
        <v>2020</v>
      </c>
      <c r="B667" s="3" t="s">
        <v>1183</v>
      </c>
      <c r="C667" s="3" t="str">
        <f>VLOOKUP($B667, '[1]HURDAT Query'!$A$1:$F$1030, 3, 0)</f>
        <v>EDOUARD</v>
      </c>
      <c r="D667" s="3" t="str">
        <f>VLOOKUP($B667, '[1]HURDAT Query'!$A$1:$F$1030, 4, 0)</f>
        <v>NA</v>
      </c>
      <c r="E667" s="3" t="str">
        <f>VLOOKUP($B667, '[1]HURDAT Query'!$A$1:$F$1030, 5, 0)</f>
        <v>NA</v>
      </c>
      <c r="F667" s="3" t="str">
        <f>VLOOKUP($B667, '[1]HURDAT Query'!$A$1:$F$1030, 6, 0)</f>
        <v>NA</v>
      </c>
      <c r="G667" s="3" t="str">
        <f>_xlfn.IFNA(VLOOKUP(B667, '[1]Landfall Stats'!A:G, 7, 0), "No LF")</f>
        <v>No LF</v>
      </c>
      <c r="H667" s="3" t="str">
        <f>_xlfn.IFNA(VLOOKUP(B667, '[1]Landfall Stats'!A:G, 5, 0), "No LF")</f>
        <v>No LF</v>
      </c>
      <c r="I667" s="3" t="str">
        <f>_xlfn.IFNA(VLOOKUP(B667, '[1]Landfall Stats'!A:G, 6, 0), "No LF")</f>
        <v>No LF</v>
      </c>
      <c r="J667" s="4" t="s">
        <v>1184</v>
      </c>
      <c r="K667" s="3">
        <v>0</v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12.75" customHeight="1" x14ac:dyDescent="0.2">
      <c r="A668" s="3">
        <v>2020</v>
      </c>
      <c r="B668" s="3" t="s">
        <v>1185</v>
      </c>
      <c r="C668" s="3" t="str">
        <f>VLOOKUP($B668, '[1]HURDAT Query'!$A$1:$F$1030, 3, 0)</f>
        <v>FAY</v>
      </c>
      <c r="D668" s="3" t="str">
        <f>VLOOKUP($B668, '[1]HURDAT Query'!$A$1:$F$1030, 4, 0)</f>
        <v>NA</v>
      </c>
      <c r="E668" s="3" t="str">
        <f>VLOOKUP($B668, '[1]HURDAT Query'!$A$1:$F$1030, 5, 0)</f>
        <v>NA</v>
      </c>
      <c r="F668" s="3" t="str">
        <f>VLOOKUP($B668, '[1]HURDAT Query'!$A$1:$F$1030, 6, 0)</f>
        <v>NA</v>
      </c>
      <c r="G668" s="3" t="str">
        <f>_xlfn.IFNA(VLOOKUP(B668, '[1]Landfall Stats'!A:G, 7, 0), "No LF")</f>
        <v>No LF</v>
      </c>
      <c r="H668" s="3" t="str">
        <f>_xlfn.IFNA(VLOOKUP(B668, '[1]Landfall Stats'!A:G, 5, 0), "No LF")</f>
        <v>No LF</v>
      </c>
      <c r="I668" s="3" t="str">
        <f>_xlfn.IFNA(VLOOKUP(B668, '[1]Landfall Stats'!A:G, 6, 0), "No LF")</f>
        <v>No LF</v>
      </c>
      <c r="J668" s="4" t="s">
        <v>1186</v>
      </c>
      <c r="K668" s="3">
        <v>2</v>
      </c>
      <c r="L668" s="3"/>
      <c r="M668" s="3"/>
      <c r="N668" s="3">
        <v>2</v>
      </c>
      <c r="O668" s="3" t="s">
        <v>1187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2.75" customHeight="1" x14ac:dyDescent="0.2">
      <c r="A669" s="3">
        <v>2020</v>
      </c>
      <c r="B669" s="3" t="s">
        <v>1188</v>
      </c>
      <c r="C669" s="3" t="str">
        <f>VLOOKUP($B669, '[1]HURDAT Query'!$A$1:$F$1030, 3, 0)</f>
        <v>GONZALO</v>
      </c>
      <c r="D669" s="3" t="str">
        <f>VLOOKUP($B669, '[1]HURDAT Query'!$A$1:$F$1030, 4, 0)</f>
        <v>NA</v>
      </c>
      <c r="E669" s="3" t="str">
        <f>VLOOKUP($B669, '[1]HURDAT Query'!$A$1:$F$1030, 5, 0)</f>
        <v>NA</v>
      </c>
      <c r="F669" s="3" t="str">
        <f>VLOOKUP($B669, '[1]HURDAT Query'!$A$1:$F$1030, 6, 0)</f>
        <v>NA</v>
      </c>
      <c r="G669" s="3" t="str">
        <f>_xlfn.IFNA(VLOOKUP(B669, '[1]Landfall Stats'!A:G, 7, 0), "No LF")</f>
        <v>No LF</v>
      </c>
      <c r="H669" s="3" t="str">
        <f>_xlfn.IFNA(VLOOKUP(B669, '[1]Landfall Stats'!A:G, 5, 0), "No LF")</f>
        <v>No LF</v>
      </c>
      <c r="I669" s="3" t="str">
        <f>_xlfn.IFNA(VLOOKUP(B669, '[1]Landfall Stats'!A:G, 6, 0), "No LF")</f>
        <v>No LF</v>
      </c>
      <c r="J669" s="4" t="s">
        <v>1189</v>
      </c>
      <c r="K669" s="3">
        <v>0</v>
      </c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2.75" customHeight="1" x14ac:dyDescent="0.2">
      <c r="A670" s="3">
        <v>2020</v>
      </c>
      <c r="B670" s="3" t="s">
        <v>1190</v>
      </c>
      <c r="C670" s="3" t="str">
        <f>VLOOKUP($B670, '[1]HURDAT Query'!$A$1:$F$1030, 3, 0)</f>
        <v>HANNA</v>
      </c>
      <c r="D670" s="3">
        <f>VLOOKUP($B670, '[1]HURDAT Query'!$A$1:$F$1030, 4, 0)</f>
        <v>1</v>
      </c>
      <c r="E670" s="3">
        <f>VLOOKUP($B670, '[1]HURDAT Query'!$A$1:$F$1030, 5, 0)</f>
        <v>80</v>
      </c>
      <c r="F670" s="3">
        <f>VLOOKUP($B670, '[1]HURDAT Query'!$A$1:$F$1030, 6, 0)</f>
        <v>973</v>
      </c>
      <c r="G670" s="3">
        <f>_xlfn.IFNA(VLOOKUP(B670, '[1]Landfall Stats'!A:G, 7, 0), "No LF")</f>
        <v>1</v>
      </c>
      <c r="H670" s="3">
        <f>_xlfn.IFNA(VLOOKUP(B670, '[1]Landfall Stats'!A:G, 5, 0), "No LF")</f>
        <v>80</v>
      </c>
      <c r="I670" s="3">
        <f>_xlfn.IFNA(VLOOKUP(B670, '[1]Landfall Stats'!A:G, 6, 0), "No LF")</f>
        <v>973</v>
      </c>
      <c r="J670" s="4" t="s">
        <v>1191</v>
      </c>
      <c r="K670" s="3">
        <v>0</v>
      </c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2.75" customHeight="1" x14ac:dyDescent="0.2">
      <c r="A671" s="3">
        <v>2020</v>
      </c>
      <c r="B671" s="3" t="s">
        <v>1192</v>
      </c>
      <c r="C671" s="3" t="str">
        <f>VLOOKUP($B671, '[1]HURDAT Query'!$A$1:$F$1030, 3, 0)</f>
        <v>ISAIAS</v>
      </c>
      <c r="D671" s="3">
        <f>VLOOKUP($B671, '[1]HURDAT Query'!$A$1:$F$1030, 4, 0)</f>
        <v>1</v>
      </c>
      <c r="E671" s="3">
        <f>VLOOKUP($B671, '[1]HURDAT Query'!$A$1:$F$1030, 5, 0)</f>
        <v>80</v>
      </c>
      <c r="F671" s="3">
        <f>VLOOKUP($B671, '[1]HURDAT Query'!$A$1:$F$1030, 6, 0)</f>
        <v>986</v>
      </c>
      <c r="G671" s="3">
        <f>_xlfn.IFNA(VLOOKUP(B671, '[1]Landfall Stats'!A:G, 7, 0), "No LF")</f>
        <v>1</v>
      </c>
      <c r="H671" s="3">
        <f>_xlfn.IFNA(VLOOKUP(B671, '[1]Landfall Stats'!A:G, 5, 0), "No LF")</f>
        <v>80</v>
      </c>
      <c r="I671" s="3">
        <f>_xlfn.IFNA(VLOOKUP(B671, '[1]Landfall Stats'!A:G, 6, 0), "No LF")</f>
        <v>986</v>
      </c>
      <c r="J671" s="4" t="s">
        <v>1193</v>
      </c>
      <c r="K671" s="3">
        <v>10</v>
      </c>
      <c r="L671" s="3"/>
      <c r="M671" s="3"/>
      <c r="N671" s="3"/>
      <c r="O671" s="3"/>
      <c r="P671" s="3"/>
      <c r="Q671" s="3"/>
      <c r="R671" s="3">
        <v>1</v>
      </c>
      <c r="S671" s="3" t="s">
        <v>310</v>
      </c>
      <c r="T671" s="3">
        <v>2</v>
      </c>
      <c r="U671" s="3" t="s">
        <v>1194</v>
      </c>
      <c r="V671" s="3"/>
      <c r="W671" s="3"/>
      <c r="X671" s="3">
        <v>5</v>
      </c>
      <c r="Y671" s="3" t="s">
        <v>1195</v>
      </c>
      <c r="Z671" s="3">
        <v>2</v>
      </c>
      <c r="AA671" s="3" t="s">
        <v>290</v>
      </c>
      <c r="AB671" s="3"/>
      <c r="AC671" s="3"/>
      <c r="AD671" s="3"/>
      <c r="AE671" s="3"/>
    </row>
    <row r="672" spans="1:31" ht="12.75" customHeight="1" x14ac:dyDescent="0.2">
      <c r="A672" s="3">
        <v>2020</v>
      </c>
      <c r="B672" s="3" t="s">
        <v>1196</v>
      </c>
      <c r="C672" s="3" t="str">
        <f>VLOOKUP($B672, '[1]HURDAT Query'!$A$1:$F$1030, 3, 0)</f>
        <v>TEN</v>
      </c>
      <c r="D672" s="3" t="str">
        <f>VLOOKUP($B672, '[1]HURDAT Query'!$A$1:$F$1030, 4, 0)</f>
        <v>NA</v>
      </c>
      <c r="E672" s="3" t="str">
        <f>VLOOKUP($B672, '[1]HURDAT Query'!$A$1:$F$1030, 5, 0)</f>
        <v>NA</v>
      </c>
      <c r="F672" s="3" t="str">
        <f>VLOOKUP($B672, '[1]HURDAT Query'!$A$1:$F$1030, 6, 0)</f>
        <v>NA</v>
      </c>
      <c r="G672" s="3" t="str">
        <f>_xlfn.IFNA(VLOOKUP(B672, '[1]Landfall Stats'!A:G, 7, 0), "No LF")</f>
        <v>No LF</v>
      </c>
      <c r="H672" s="3" t="str">
        <f>_xlfn.IFNA(VLOOKUP(B672, '[1]Landfall Stats'!A:G, 5, 0), "No LF")</f>
        <v>No LF</v>
      </c>
      <c r="I672" s="3" t="str">
        <f>_xlfn.IFNA(VLOOKUP(B672, '[1]Landfall Stats'!A:G, 6, 0), "No LF")</f>
        <v>No LF</v>
      </c>
      <c r="J672" s="4" t="s">
        <v>1197</v>
      </c>
      <c r="K672" s="3">
        <v>0</v>
      </c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2.75" customHeight="1" x14ac:dyDescent="0.2">
      <c r="A673" s="3">
        <v>2020</v>
      </c>
      <c r="B673" s="3" t="s">
        <v>1198</v>
      </c>
      <c r="C673" s="3" t="str">
        <f>VLOOKUP($B673, '[1]HURDAT Query'!$A$1:$F$1030, 3, 0)</f>
        <v>JOSEPHINE</v>
      </c>
      <c r="D673" s="3" t="str">
        <f>VLOOKUP($B673, '[1]HURDAT Query'!$A$1:$F$1030, 4, 0)</f>
        <v>NA</v>
      </c>
      <c r="E673" s="3" t="str">
        <f>VLOOKUP($B673, '[1]HURDAT Query'!$A$1:$F$1030, 5, 0)</f>
        <v>NA</v>
      </c>
      <c r="F673" s="3" t="str">
        <f>VLOOKUP($B673, '[1]HURDAT Query'!$A$1:$F$1030, 6, 0)</f>
        <v>NA</v>
      </c>
      <c r="G673" s="3" t="str">
        <f>_xlfn.IFNA(VLOOKUP(B673, '[1]Landfall Stats'!A:G, 7, 0), "No LF")</f>
        <v>No LF</v>
      </c>
      <c r="H673" s="3" t="str">
        <f>_xlfn.IFNA(VLOOKUP(B673, '[1]Landfall Stats'!A:G, 5, 0), "No LF")</f>
        <v>No LF</v>
      </c>
      <c r="I673" s="3" t="str">
        <f>_xlfn.IFNA(VLOOKUP(B673, '[1]Landfall Stats'!A:G, 6, 0), "No LF")</f>
        <v>No LF</v>
      </c>
      <c r="J673" s="4" t="s">
        <v>1199</v>
      </c>
      <c r="K673" s="3">
        <v>0</v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2.75" customHeight="1" x14ac:dyDescent="0.2">
      <c r="A674" s="3">
        <v>2020</v>
      </c>
      <c r="B674" s="3" t="s">
        <v>1200</v>
      </c>
      <c r="C674" s="3" t="str">
        <f>VLOOKUP($B674, '[1]HURDAT Query'!$A$1:$F$1030, 3, 0)</f>
        <v>KYLE</v>
      </c>
      <c r="D674" s="3" t="str">
        <f>VLOOKUP($B674, '[1]HURDAT Query'!$A$1:$F$1030, 4, 0)</f>
        <v>NA</v>
      </c>
      <c r="E674" s="3" t="str">
        <f>VLOOKUP($B674, '[1]HURDAT Query'!$A$1:$F$1030, 5, 0)</f>
        <v>NA</v>
      </c>
      <c r="F674" s="3" t="str">
        <f>VLOOKUP($B674, '[1]HURDAT Query'!$A$1:$F$1030, 6, 0)</f>
        <v>NA</v>
      </c>
      <c r="G674" s="3" t="str">
        <f>_xlfn.IFNA(VLOOKUP(B674, '[1]Landfall Stats'!A:G, 7, 0), "No LF")</f>
        <v>No LF</v>
      </c>
      <c r="H674" s="3" t="str">
        <f>_xlfn.IFNA(VLOOKUP(B674, '[1]Landfall Stats'!A:G, 5, 0), "No LF")</f>
        <v>No LF</v>
      </c>
      <c r="I674" s="3" t="str">
        <f>_xlfn.IFNA(VLOOKUP(B674, '[1]Landfall Stats'!A:G, 6, 0), "No LF")</f>
        <v>No LF</v>
      </c>
      <c r="J674" s="4" t="s">
        <v>1201</v>
      </c>
      <c r="K674" s="3">
        <v>0</v>
      </c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2.75" customHeight="1" x14ac:dyDescent="0.2">
      <c r="A675" s="3">
        <v>2020</v>
      </c>
      <c r="B675" s="3" t="s">
        <v>1202</v>
      </c>
      <c r="C675" s="3" t="str">
        <f>VLOOKUP($B675, '[1]HURDAT Query'!$A$1:$F$1030, 3, 0)</f>
        <v>LAURA</v>
      </c>
      <c r="D675" s="3">
        <f>VLOOKUP($B675, '[1]HURDAT Query'!$A$1:$F$1030, 4, 0)</f>
        <v>4</v>
      </c>
      <c r="E675" s="3">
        <f>VLOOKUP($B675, '[1]HURDAT Query'!$A$1:$F$1030, 5, 0)</f>
        <v>130</v>
      </c>
      <c r="F675" s="3">
        <f>VLOOKUP($B675, '[1]HURDAT Query'!$A$1:$F$1030, 6, 0)</f>
        <v>937</v>
      </c>
      <c r="G675" s="3">
        <f>_xlfn.IFNA(VLOOKUP(B675, '[1]Landfall Stats'!A:G, 7, 0), "No LF")</f>
        <v>4</v>
      </c>
      <c r="H675" s="3">
        <f>_xlfn.IFNA(VLOOKUP(B675, '[1]Landfall Stats'!A:G, 5, 0), "No LF")</f>
        <v>130</v>
      </c>
      <c r="I675" s="3">
        <f>_xlfn.IFNA(VLOOKUP(B675, '[1]Landfall Stats'!A:G, 6, 0), "No LF")</f>
        <v>939</v>
      </c>
      <c r="J675" s="4" t="s">
        <v>1203</v>
      </c>
      <c r="K675" s="3">
        <v>7</v>
      </c>
      <c r="L675" s="3"/>
      <c r="M675" s="3"/>
      <c r="N675" s="3">
        <v>2</v>
      </c>
      <c r="O675" s="3" t="s">
        <v>1204</v>
      </c>
      <c r="P675" s="3"/>
      <c r="Q675" s="3"/>
      <c r="R675" s="3"/>
      <c r="S675" s="3"/>
      <c r="T675" s="3"/>
      <c r="U675" s="3"/>
      <c r="V675" s="3"/>
      <c r="W675" s="3"/>
      <c r="X675" s="3">
        <v>5</v>
      </c>
      <c r="Y675" s="3" t="s">
        <v>1205</v>
      </c>
      <c r="Z675" s="3"/>
      <c r="AA675" s="3"/>
      <c r="AB675" s="3"/>
      <c r="AC675" s="3"/>
      <c r="AD675" s="3"/>
      <c r="AE675" s="3"/>
    </row>
    <row r="676" spans="1:31" ht="12.75" customHeight="1" x14ac:dyDescent="0.2">
      <c r="A676" s="3">
        <v>2020</v>
      </c>
      <c r="B676" s="3" t="s">
        <v>1206</v>
      </c>
      <c r="C676" s="3" t="str">
        <f>VLOOKUP($B676, '[1]HURDAT Query'!$A$1:$F$1030, 3, 0)</f>
        <v>MARCO</v>
      </c>
      <c r="D676" s="3">
        <f>VLOOKUP($B676, '[1]HURDAT Query'!$A$1:$F$1030, 4, 0)</f>
        <v>1</v>
      </c>
      <c r="E676" s="3">
        <f>VLOOKUP($B676, '[1]HURDAT Query'!$A$1:$F$1030, 5, 0)</f>
        <v>65</v>
      </c>
      <c r="F676" s="3">
        <f>VLOOKUP($B676, '[1]HURDAT Query'!$A$1:$F$1030, 6, 0)</f>
        <v>991</v>
      </c>
      <c r="G676" s="3" t="str">
        <f>_xlfn.IFNA(VLOOKUP(B676, '[1]Landfall Stats'!A:G, 7, 0), "No LF")</f>
        <v>No LF</v>
      </c>
      <c r="H676" s="3" t="str">
        <f>_xlfn.IFNA(VLOOKUP(B676, '[1]Landfall Stats'!A:G, 5, 0), "No LF")</f>
        <v>No LF</v>
      </c>
      <c r="I676" s="3" t="str">
        <f>_xlfn.IFNA(VLOOKUP(B676, '[1]Landfall Stats'!A:G, 6, 0), "No LF")</f>
        <v>No LF</v>
      </c>
      <c r="J676" s="4" t="s">
        <v>1207</v>
      </c>
      <c r="K676" s="3">
        <v>0</v>
      </c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2.75" customHeight="1" x14ac:dyDescent="0.2">
      <c r="A677" s="3">
        <v>2020</v>
      </c>
      <c r="B677" s="3" t="s">
        <v>1208</v>
      </c>
      <c r="C677" s="3" t="str">
        <f>VLOOKUP($B677, '[1]HURDAT Query'!$A$1:$F$1030, 3, 0)</f>
        <v>OMAR</v>
      </c>
      <c r="D677" s="3" t="str">
        <f>VLOOKUP($B677, '[1]HURDAT Query'!$A$1:$F$1030, 4, 0)</f>
        <v>NA</v>
      </c>
      <c r="E677" s="3" t="str">
        <f>VLOOKUP($B677, '[1]HURDAT Query'!$A$1:$F$1030, 5, 0)</f>
        <v>NA</v>
      </c>
      <c r="F677" s="3" t="str">
        <f>VLOOKUP($B677, '[1]HURDAT Query'!$A$1:$F$1030, 6, 0)</f>
        <v>NA</v>
      </c>
      <c r="G677" s="3" t="str">
        <f>_xlfn.IFNA(VLOOKUP(B677, '[1]Landfall Stats'!A:G, 7, 0), "No LF")</f>
        <v>No LF</v>
      </c>
      <c r="H677" s="3" t="str">
        <f>_xlfn.IFNA(VLOOKUP(B677, '[1]Landfall Stats'!A:G, 5, 0), "No LF")</f>
        <v>No LF</v>
      </c>
      <c r="I677" s="3" t="str">
        <f>_xlfn.IFNA(VLOOKUP(B677, '[1]Landfall Stats'!A:G, 6, 0), "No LF")</f>
        <v>No LF</v>
      </c>
      <c r="J677" s="4" t="s">
        <v>1209</v>
      </c>
      <c r="K677" s="3">
        <v>0</v>
      </c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2.75" customHeight="1" x14ac:dyDescent="0.2">
      <c r="A678" s="3">
        <v>2020</v>
      </c>
      <c r="B678" s="3" t="s">
        <v>1210</v>
      </c>
      <c r="C678" s="3" t="str">
        <f>VLOOKUP($B678, '[1]HURDAT Query'!$A$1:$F$1030, 3, 0)</f>
        <v>NANA</v>
      </c>
      <c r="D678" s="3">
        <f>VLOOKUP($B678, '[1]HURDAT Query'!$A$1:$F$1030, 4, 0)</f>
        <v>1</v>
      </c>
      <c r="E678" s="3">
        <f>VLOOKUP($B678, '[1]HURDAT Query'!$A$1:$F$1030, 5, 0)</f>
        <v>65</v>
      </c>
      <c r="F678" s="3">
        <f>VLOOKUP($B678, '[1]HURDAT Query'!$A$1:$F$1030, 6, 0)</f>
        <v>994</v>
      </c>
      <c r="G678" s="3" t="str">
        <f>_xlfn.IFNA(VLOOKUP(B678, '[1]Landfall Stats'!A:G, 7, 0), "No LF")</f>
        <v>No LF</v>
      </c>
      <c r="H678" s="3" t="str">
        <f>_xlfn.IFNA(VLOOKUP(B678, '[1]Landfall Stats'!A:G, 5, 0), "No LF")</f>
        <v>No LF</v>
      </c>
      <c r="I678" s="3" t="str">
        <f>_xlfn.IFNA(VLOOKUP(B678, '[1]Landfall Stats'!A:G, 6, 0), "No LF")</f>
        <v>No LF</v>
      </c>
      <c r="J678" s="4" t="s">
        <v>1211</v>
      </c>
      <c r="K678" s="3">
        <v>0</v>
      </c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2.75" customHeight="1" x14ac:dyDescent="0.2">
      <c r="A679" s="3">
        <v>2020</v>
      </c>
      <c r="B679" s="3" t="s">
        <v>1212</v>
      </c>
      <c r="C679" s="3" t="str">
        <f>VLOOKUP($B679, '[1]HURDAT Query'!$A$1:$F$1030, 3, 0)</f>
        <v>PAULETTE</v>
      </c>
      <c r="D679" s="3">
        <f>VLOOKUP($B679, '[1]HURDAT Query'!$A$1:$F$1030, 4, 0)</f>
        <v>2</v>
      </c>
      <c r="E679" s="3">
        <f>VLOOKUP($B679, '[1]HURDAT Query'!$A$1:$F$1030, 5, 0)</f>
        <v>90</v>
      </c>
      <c r="F679" s="3">
        <f>VLOOKUP($B679, '[1]HURDAT Query'!$A$1:$F$1030, 6, 0)</f>
        <v>965</v>
      </c>
      <c r="G679" s="3" t="str">
        <f>_xlfn.IFNA(VLOOKUP(B679, '[1]Landfall Stats'!A:G, 7, 0), "No LF")</f>
        <v>No LF</v>
      </c>
      <c r="H679" s="3" t="str">
        <f>_xlfn.IFNA(VLOOKUP(B679, '[1]Landfall Stats'!A:G, 5, 0), "No LF")</f>
        <v>No LF</v>
      </c>
      <c r="I679" s="3" t="str">
        <f>_xlfn.IFNA(VLOOKUP(B679, '[1]Landfall Stats'!A:G, 6, 0), "No LF")</f>
        <v>No LF</v>
      </c>
      <c r="J679" s="4" t="s">
        <v>1213</v>
      </c>
      <c r="K679" s="3">
        <v>2</v>
      </c>
      <c r="L679" s="3"/>
      <c r="M679" s="3"/>
      <c r="N679" s="3"/>
      <c r="O679" s="3"/>
      <c r="P679" s="3"/>
      <c r="Q679" s="3"/>
      <c r="R679" s="3">
        <v>2</v>
      </c>
      <c r="S679" s="3" t="s">
        <v>1214</v>
      </c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2.75" customHeight="1" x14ac:dyDescent="0.2">
      <c r="A680" s="3">
        <v>2020</v>
      </c>
      <c r="B680" s="3" t="s">
        <v>1215</v>
      </c>
      <c r="C680" s="3" t="str">
        <f>VLOOKUP($B680, '[1]HURDAT Query'!$A$1:$F$1030, 3, 0)</f>
        <v>RENE</v>
      </c>
      <c r="D680" s="3" t="str">
        <f>VLOOKUP($B680, '[1]HURDAT Query'!$A$1:$F$1030, 4, 0)</f>
        <v>NA</v>
      </c>
      <c r="E680" s="3" t="str">
        <f>VLOOKUP($B680, '[1]HURDAT Query'!$A$1:$F$1030, 5, 0)</f>
        <v>NA</v>
      </c>
      <c r="F680" s="3" t="str">
        <f>VLOOKUP($B680, '[1]HURDAT Query'!$A$1:$F$1030, 6, 0)</f>
        <v>NA</v>
      </c>
      <c r="G680" s="3" t="str">
        <f>_xlfn.IFNA(VLOOKUP(B680, '[1]Landfall Stats'!A:G, 7, 0), "No LF")</f>
        <v>No LF</v>
      </c>
      <c r="H680" s="3" t="str">
        <f>_xlfn.IFNA(VLOOKUP(B680, '[1]Landfall Stats'!A:G, 5, 0), "No LF")</f>
        <v>No LF</v>
      </c>
      <c r="I680" s="3" t="str">
        <f>_xlfn.IFNA(VLOOKUP(B680, '[1]Landfall Stats'!A:G, 6, 0), "No LF")</f>
        <v>No LF</v>
      </c>
      <c r="J680" s="4" t="s">
        <v>1216</v>
      </c>
      <c r="K680" s="3">
        <v>0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2.75" customHeight="1" x14ac:dyDescent="0.2">
      <c r="A681" s="3">
        <v>2020</v>
      </c>
      <c r="B681" s="3" t="s">
        <v>1217</v>
      </c>
      <c r="C681" s="3" t="str">
        <f>VLOOKUP($B681, '[1]HURDAT Query'!$A$1:$F$1030, 3, 0)</f>
        <v>SALLY</v>
      </c>
      <c r="D681" s="3">
        <f>VLOOKUP($B681, '[1]HURDAT Query'!$A$1:$F$1030, 4, 0)</f>
        <v>2</v>
      </c>
      <c r="E681" s="3">
        <f>VLOOKUP($B681, '[1]HURDAT Query'!$A$1:$F$1030, 5, 0)</f>
        <v>95</v>
      </c>
      <c r="F681" s="3">
        <f>VLOOKUP($B681, '[1]HURDAT Query'!$A$1:$F$1030, 6, 0)</f>
        <v>965</v>
      </c>
      <c r="G681" s="3">
        <f>_xlfn.IFNA(VLOOKUP(B681, '[1]Landfall Stats'!A:G, 7, 0), "No LF")</f>
        <v>2</v>
      </c>
      <c r="H681" s="3">
        <f>_xlfn.IFNA(VLOOKUP(B681, '[1]Landfall Stats'!A:G, 5, 0), "No LF")</f>
        <v>95</v>
      </c>
      <c r="I681" s="3">
        <f>_xlfn.IFNA(VLOOKUP(B681, '[1]Landfall Stats'!A:G, 6, 0), "No LF")</f>
        <v>965</v>
      </c>
      <c r="J681" s="4" t="s">
        <v>1218</v>
      </c>
      <c r="K681" s="3">
        <v>4</v>
      </c>
      <c r="L681" s="3">
        <v>1</v>
      </c>
      <c r="M681" s="3" t="s">
        <v>51</v>
      </c>
      <c r="N681" s="3"/>
      <c r="O681" s="3"/>
      <c r="P681" s="3">
        <v>2</v>
      </c>
      <c r="Q681" s="3" t="s">
        <v>1219</v>
      </c>
      <c r="R681" s="3"/>
      <c r="S681" s="3"/>
      <c r="T681" s="3"/>
      <c r="U681" s="3"/>
      <c r="V681" s="3"/>
      <c r="W681" s="3"/>
      <c r="X681" s="3">
        <v>1</v>
      </c>
      <c r="Y681" s="3" t="s">
        <v>593</v>
      </c>
      <c r="Z681" s="3"/>
      <c r="AA681" s="3"/>
      <c r="AB681" s="3"/>
      <c r="AC681" s="3"/>
      <c r="AD681" s="3"/>
      <c r="AE681" s="3"/>
    </row>
    <row r="682" spans="1:31" ht="12.75" customHeight="1" x14ac:dyDescent="0.2">
      <c r="A682" s="3">
        <v>2020</v>
      </c>
      <c r="B682" s="3" t="s">
        <v>1220</v>
      </c>
      <c r="C682" s="3" t="str">
        <f>VLOOKUP($B682, '[1]HURDAT Query'!$A$1:$F$1030, 3, 0)</f>
        <v>TEDDY</v>
      </c>
      <c r="D682" s="3">
        <f>VLOOKUP($B682, '[1]HURDAT Query'!$A$1:$F$1030, 4, 0)</f>
        <v>4</v>
      </c>
      <c r="E682" s="3">
        <f>VLOOKUP($B682, '[1]HURDAT Query'!$A$1:$F$1030, 5, 0)</f>
        <v>120</v>
      </c>
      <c r="F682" s="3">
        <f>VLOOKUP($B682, '[1]HURDAT Query'!$A$1:$F$1030, 6, 0)</f>
        <v>945</v>
      </c>
      <c r="G682" s="3" t="str">
        <f>_xlfn.IFNA(VLOOKUP(B682, '[1]Landfall Stats'!A:G, 7, 0), "No LF")</f>
        <v>No LF</v>
      </c>
      <c r="H682" s="3" t="str">
        <f>_xlfn.IFNA(VLOOKUP(B682, '[1]Landfall Stats'!A:G, 5, 0), "No LF")</f>
        <v>No LF</v>
      </c>
      <c r="I682" s="3" t="str">
        <f>_xlfn.IFNA(VLOOKUP(B682, '[1]Landfall Stats'!A:G, 6, 0), "No LF")</f>
        <v>No LF</v>
      </c>
      <c r="J682" s="4" t="s">
        <v>1221</v>
      </c>
      <c r="K682" s="3">
        <v>1</v>
      </c>
      <c r="L682" s="3"/>
      <c r="M682" s="3"/>
      <c r="N682" s="3"/>
      <c r="O682" s="3"/>
      <c r="P682" s="3"/>
      <c r="Q682" s="3"/>
      <c r="R682" s="3">
        <v>1</v>
      </c>
      <c r="S682" s="3" t="s">
        <v>84</v>
      </c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2.75" customHeight="1" x14ac:dyDescent="0.2">
      <c r="A683" s="3">
        <v>2020</v>
      </c>
      <c r="B683" s="3" t="s">
        <v>1222</v>
      </c>
      <c r="C683" s="3" t="str">
        <f>VLOOKUP($B683, '[1]HURDAT Query'!$A$1:$F$1030, 3, 0)</f>
        <v>VICKY</v>
      </c>
      <c r="D683" s="3" t="str">
        <f>VLOOKUP($B683, '[1]HURDAT Query'!$A$1:$F$1030, 4, 0)</f>
        <v>NA</v>
      </c>
      <c r="E683" s="3" t="str">
        <f>VLOOKUP($B683, '[1]HURDAT Query'!$A$1:$F$1030, 5, 0)</f>
        <v>NA</v>
      </c>
      <c r="F683" s="3" t="str">
        <f>VLOOKUP($B683, '[1]HURDAT Query'!$A$1:$F$1030, 6, 0)</f>
        <v>NA</v>
      </c>
      <c r="G683" s="3" t="str">
        <f>_xlfn.IFNA(VLOOKUP(B683, '[1]Landfall Stats'!A:G, 7, 0), "No LF")</f>
        <v>No LF</v>
      </c>
      <c r="H683" s="3" t="str">
        <f>_xlfn.IFNA(VLOOKUP(B683, '[1]Landfall Stats'!A:G, 5, 0), "No LF")</f>
        <v>No LF</v>
      </c>
      <c r="I683" s="3" t="str">
        <f>_xlfn.IFNA(VLOOKUP(B683, '[1]Landfall Stats'!A:G, 6, 0), "No LF")</f>
        <v>No LF</v>
      </c>
      <c r="J683" s="4" t="s">
        <v>1223</v>
      </c>
      <c r="K683" s="3">
        <v>0</v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2.75" customHeight="1" x14ac:dyDescent="0.2">
      <c r="A684" s="3">
        <v>2020</v>
      </c>
      <c r="B684" s="3" t="s">
        <v>1224</v>
      </c>
      <c r="C684" s="3" t="str">
        <f>VLOOKUP($B684, '[1]HURDAT Query'!$A$1:$F$1030, 3, 0)</f>
        <v>BETA</v>
      </c>
      <c r="D684" s="3" t="str">
        <f>VLOOKUP($B684, '[1]HURDAT Query'!$A$1:$F$1030, 4, 0)</f>
        <v>NA</v>
      </c>
      <c r="E684" s="3" t="str">
        <f>VLOOKUP($B684, '[1]HURDAT Query'!$A$1:$F$1030, 5, 0)</f>
        <v>NA</v>
      </c>
      <c r="F684" s="3" t="str">
        <f>VLOOKUP($B684, '[1]HURDAT Query'!$A$1:$F$1030, 6, 0)</f>
        <v>NA</v>
      </c>
      <c r="G684" s="3" t="str">
        <f>_xlfn.IFNA(VLOOKUP(B684, '[1]Landfall Stats'!A:G, 7, 0), "No LF")</f>
        <v>No LF</v>
      </c>
      <c r="H684" s="3" t="str">
        <f>_xlfn.IFNA(VLOOKUP(B684, '[1]Landfall Stats'!A:G, 5, 0), "No LF")</f>
        <v>No LF</v>
      </c>
      <c r="I684" s="3" t="str">
        <f>_xlfn.IFNA(VLOOKUP(B684, '[1]Landfall Stats'!A:G, 6, 0), "No LF")</f>
        <v>No LF</v>
      </c>
      <c r="J684" s="4" t="s">
        <v>1225</v>
      </c>
      <c r="K684" s="3">
        <v>1</v>
      </c>
      <c r="L684" s="3"/>
      <c r="M684" s="3"/>
      <c r="N684" s="3"/>
      <c r="O684" s="3"/>
      <c r="P684" s="3">
        <v>1</v>
      </c>
      <c r="Q684" s="3" t="s">
        <v>38</v>
      </c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2.75" customHeight="1" x14ac:dyDescent="0.2">
      <c r="A685" s="3">
        <v>2020</v>
      </c>
      <c r="B685" s="3" t="s">
        <v>1226</v>
      </c>
      <c r="C685" s="3" t="str">
        <f>VLOOKUP($B685, '[1]HURDAT Query'!$A$1:$F$1030, 3, 0)</f>
        <v>WILFRED</v>
      </c>
      <c r="D685" s="3" t="str">
        <f>VLOOKUP($B685, '[1]HURDAT Query'!$A$1:$F$1030, 4, 0)</f>
        <v>NA</v>
      </c>
      <c r="E685" s="3" t="str">
        <f>VLOOKUP($B685, '[1]HURDAT Query'!$A$1:$F$1030, 5, 0)</f>
        <v>NA</v>
      </c>
      <c r="F685" s="3" t="str">
        <f>VLOOKUP($B685, '[1]HURDAT Query'!$A$1:$F$1030, 6, 0)</f>
        <v>NA</v>
      </c>
      <c r="G685" s="3" t="str">
        <f>_xlfn.IFNA(VLOOKUP(B685, '[1]Landfall Stats'!A:G, 7, 0), "No LF")</f>
        <v>No LF</v>
      </c>
      <c r="H685" s="3" t="str">
        <f>_xlfn.IFNA(VLOOKUP(B685, '[1]Landfall Stats'!A:G, 5, 0), "No LF")</f>
        <v>No LF</v>
      </c>
      <c r="I685" s="3" t="str">
        <f>_xlfn.IFNA(VLOOKUP(B685, '[1]Landfall Stats'!A:G, 6, 0), "No LF")</f>
        <v>No LF</v>
      </c>
      <c r="J685" s="4" t="s">
        <v>1227</v>
      </c>
      <c r="K685" s="3">
        <v>0</v>
      </c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2.75" customHeight="1" x14ac:dyDescent="0.2">
      <c r="A686" s="3">
        <v>2020</v>
      </c>
      <c r="B686" s="3" t="s">
        <v>1228</v>
      </c>
      <c r="C686" s="3" t="str">
        <f>VLOOKUP($B686, '[1]HURDAT Query'!$A$1:$F$1030, 3, 0)</f>
        <v>ALPHA</v>
      </c>
      <c r="D686" s="3" t="str">
        <f>VLOOKUP($B686, '[1]HURDAT Query'!$A$1:$F$1030, 4, 0)</f>
        <v>NA</v>
      </c>
      <c r="E686" s="3" t="str">
        <f>VLOOKUP($B686, '[1]HURDAT Query'!$A$1:$F$1030, 5, 0)</f>
        <v>NA</v>
      </c>
      <c r="F686" s="3" t="str">
        <f>VLOOKUP($B686, '[1]HURDAT Query'!$A$1:$F$1030, 6, 0)</f>
        <v>NA</v>
      </c>
      <c r="G686" s="3" t="str">
        <f>_xlfn.IFNA(VLOOKUP(B686, '[1]Landfall Stats'!A:G, 7, 0), "No LF")</f>
        <v>No LF</v>
      </c>
      <c r="H686" s="3" t="str">
        <f>_xlfn.IFNA(VLOOKUP(B686, '[1]Landfall Stats'!A:G, 5, 0), "No LF")</f>
        <v>No LF</v>
      </c>
      <c r="I686" s="3" t="str">
        <f>_xlfn.IFNA(VLOOKUP(B686, '[1]Landfall Stats'!A:G, 6, 0), "No LF")</f>
        <v>No LF</v>
      </c>
      <c r="J686" s="4" t="s">
        <v>1229</v>
      </c>
      <c r="K686" s="3">
        <v>0</v>
      </c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2.75" customHeight="1" x14ac:dyDescent="0.2">
      <c r="A687" s="3">
        <v>2020</v>
      </c>
      <c r="B687" s="3" t="s">
        <v>1230</v>
      </c>
      <c r="C687" s="3" t="str">
        <f>VLOOKUP($B687, '[1]HURDAT Query'!$A$1:$F$1030, 3, 0)</f>
        <v>GAMMA</v>
      </c>
      <c r="D687" s="3">
        <f>VLOOKUP($B687, '[1]HURDAT Query'!$A$1:$F$1030, 4, 0)</f>
        <v>1</v>
      </c>
      <c r="E687" s="3">
        <f>VLOOKUP($B687, '[1]HURDAT Query'!$A$1:$F$1030, 5, 0)</f>
        <v>65</v>
      </c>
      <c r="F687" s="3">
        <f>VLOOKUP($B687, '[1]HURDAT Query'!$A$1:$F$1030, 6, 0)</f>
        <v>978</v>
      </c>
      <c r="G687" s="3" t="str">
        <f>_xlfn.IFNA(VLOOKUP(B687, '[1]Landfall Stats'!A:G, 7, 0), "No LF")</f>
        <v>No LF</v>
      </c>
      <c r="H687" s="3" t="str">
        <f>_xlfn.IFNA(VLOOKUP(B687, '[1]Landfall Stats'!A:G, 5, 0), "No LF")</f>
        <v>No LF</v>
      </c>
      <c r="I687" s="3" t="str">
        <f>_xlfn.IFNA(VLOOKUP(B687, '[1]Landfall Stats'!A:G, 6, 0), "No LF")</f>
        <v>No LF</v>
      </c>
      <c r="J687" s="4" t="s">
        <v>1231</v>
      </c>
      <c r="K687" s="3">
        <v>0</v>
      </c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12.75" customHeight="1" x14ac:dyDescent="0.2">
      <c r="A688" s="3">
        <v>2020</v>
      </c>
      <c r="B688" s="3" t="s">
        <v>1232</v>
      </c>
      <c r="C688" s="3" t="str">
        <f>VLOOKUP($B688, '[1]HURDAT Query'!$A$1:$F$1030, 3, 0)</f>
        <v>ZETA</v>
      </c>
      <c r="D688" s="3">
        <f>VLOOKUP($B688, '[1]HURDAT Query'!$A$1:$F$1030, 4, 0)</f>
        <v>3</v>
      </c>
      <c r="E688" s="3">
        <f>VLOOKUP($B688, '[1]HURDAT Query'!$A$1:$F$1030, 5, 0)</f>
        <v>100</v>
      </c>
      <c r="F688" s="3">
        <f>VLOOKUP($B688, '[1]HURDAT Query'!$A$1:$F$1030, 6, 0)</f>
        <v>970</v>
      </c>
      <c r="G688" s="3">
        <f>_xlfn.IFNA(VLOOKUP(B688, '[1]Landfall Stats'!A:G, 7, 0), "No LF")</f>
        <v>3</v>
      </c>
      <c r="H688" s="3">
        <f>_xlfn.IFNA(VLOOKUP(B688, '[1]Landfall Stats'!A:G, 5, 0), "No LF")</f>
        <v>100</v>
      </c>
      <c r="I688" s="3">
        <f>_xlfn.IFNA(VLOOKUP(B688, '[1]Landfall Stats'!A:G, 6, 0), "No LF")</f>
        <v>970</v>
      </c>
      <c r="J688" s="4" t="s">
        <v>1233</v>
      </c>
      <c r="K688" s="3">
        <v>5</v>
      </c>
      <c r="L688" s="3">
        <v>1</v>
      </c>
      <c r="M688" s="3" t="s">
        <v>103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>
        <v>4</v>
      </c>
      <c r="Y688" s="3" t="s">
        <v>1234</v>
      </c>
      <c r="Z688" s="3"/>
      <c r="AA688" s="3"/>
      <c r="AB688" s="3"/>
      <c r="AC688" s="3"/>
      <c r="AD688" s="3"/>
      <c r="AE688" s="3"/>
    </row>
    <row r="689" spans="1:31" ht="12.75" customHeight="1" x14ac:dyDescent="0.2">
      <c r="A689" s="3">
        <v>2020</v>
      </c>
      <c r="B689" s="3" t="s">
        <v>1235</v>
      </c>
      <c r="C689" s="3" t="str">
        <f>VLOOKUP($B689, '[1]HURDAT Query'!$A$1:$F$1030, 3, 0)</f>
        <v>EPSILON</v>
      </c>
      <c r="D689" s="3">
        <f>VLOOKUP($B689, '[1]HURDAT Query'!$A$1:$F$1030, 4, 0)</f>
        <v>3</v>
      </c>
      <c r="E689" s="3">
        <f>VLOOKUP($B689, '[1]HURDAT Query'!$A$1:$F$1030, 5, 0)</f>
        <v>100</v>
      </c>
      <c r="F689" s="3">
        <f>VLOOKUP($B689, '[1]HURDAT Query'!$A$1:$F$1030, 6, 0)</f>
        <v>952</v>
      </c>
      <c r="G689" s="3" t="str">
        <f>_xlfn.IFNA(VLOOKUP(B689, '[1]Landfall Stats'!A:G, 7, 0), "No LF")</f>
        <v>No LF</v>
      </c>
      <c r="H689" s="3" t="str">
        <f>_xlfn.IFNA(VLOOKUP(B689, '[1]Landfall Stats'!A:G, 5, 0), "No LF")</f>
        <v>No LF</v>
      </c>
      <c r="I689" s="3" t="str">
        <f>_xlfn.IFNA(VLOOKUP(B689, '[1]Landfall Stats'!A:G, 6, 0), "No LF")</f>
        <v>No LF</v>
      </c>
      <c r="J689" s="4" t="s">
        <v>1236</v>
      </c>
      <c r="K689" s="3">
        <v>1</v>
      </c>
      <c r="L689" s="3"/>
      <c r="M689" s="3"/>
      <c r="N689" s="3"/>
      <c r="O689" s="3"/>
      <c r="P689" s="3"/>
      <c r="Q689" s="3"/>
      <c r="R689" s="3">
        <v>1</v>
      </c>
      <c r="S689" s="3" t="s">
        <v>51</v>
      </c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2.75" customHeight="1" x14ac:dyDescent="0.2">
      <c r="A690" s="3">
        <v>2020</v>
      </c>
      <c r="B690" s="3" t="s">
        <v>1237</v>
      </c>
      <c r="C690" s="3" t="str">
        <f>VLOOKUP($B690, '[1]HURDAT Query'!$A$1:$F$1030, 3, 0)</f>
        <v>ETA</v>
      </c>
      <c r="D690" s="3">
        <f>VLOOKUP($B690, '[1]HURDAT Query'!$A$1:$F$1030, 4, 0)</f>
        <v>4</v>
      </c>
      <c r="E690" s="3">
        <f>VLOOKUP($B690, '[1]HURDAT Query'!$A$1:$F$1030, 5, 0)</f>
        <v>130</v>
      </c>
      <c r="F690" s="3">
        <f>VLOOKUP($B690, '[1]HURDAT Query'!$A$1:$F$1030, 6, 0)</f>
        <v>922</v>
      </c>
      <c r="G690" s="3" t="str">
        <f>_xlfn.IFNA(VLOOKUP(B690, '[1]Landfall Stats'!A:G, 7, 0), "No LF")</f>
        <v>NA</v>
      </c>
      <c r="H690" s="3">
        <f>_xlfn.IFNA(VLOOKUP(B690, '[1]Landfall Stats'!A:G, 5, 0), "No LF")</f>
        <v>55</v>
      </c>
      <c r="I690" s="3">
        <f>_xlfn.IFNA(VLOOKUP(B690, '[1]Landfall Stats'!A:G, 6, 0), "No LF")</f>
        <v>993</v>
      </c>
      <c r="J690" s="4" t="s">
        <v>1238</v>
      </c>
      <c r="K690" s="3">
        <v>7</v>
      </c>
      <c r="L690" s="3"/>
      <c r="M690" s="3"/>
      <c r="N690" s="3"/>
      <c r="O690" s="3"/>
      <c r="P690" s="3"/>
      <c r="Q690" s="3"/>
      <c r="R690" s="3"/>
      <c r="S690" s="3"/>
      <c r="T690" s="3">
        <v>7</v>
      </c>
      <c r="U690" s="3" t="s">
        <v>290</v>
      </c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2.75" customHeight="1" x14ac:dyDescent="0.2">
      <c r="A691" s="3">
        <v>2020</v>
      </c>
      <c r="B691" s="3" t="s">
        <v>1239</v>
      </c>
      <c r="C691" s="3" t="str">
        <f>VLOOKUP($B691, '[1]HURDAT Query'!$A$1:$F$1030, 3, 0)</f>
        <v>DELTA</v>
      </c>
      <c r="D691" s="3">
        <f>VLOOKUP($B691, '[1]HURDAT Query'!$A$1:$F$1030, 4, 0)</f>
        <v>4</v>
      </c>
      <c r="E691" s="3">
        <f>VLOOKUP($B691, '[1]HURDAT Query'!$A$1:$F$1030, 5, 0)</f>
        <v>120</v>
      </c>
      <c r="F691" s="3">
        <f>VLOOKUP($B691, '[1]HURDAT Query'!$A$1:$F$1030, 6, 0)</f>
        <v>953</v>
      </c>
      <c r="G691" s="3">
        <f>_xlfn.IFNA(VLOOKUP(B691, '[1]Landfall Stats'!A:G, 7, 0), "No LF")</f>
        <v>2</v>
      </c>
      <c r="H691" s="3">
        <f>_xlfn.IFNA(VLOOKUP(B691, '[1]Landfall Stats'!A:G, 5, 0), "No LF")</f>
        <v>85</v>
      </c>
      <c r="I691" s="3">
        <f>_xlfn.IFNA(VLOOKUP(B691, '[1]Landfall Stats'!A:G, 6, 0), "No LF")</f>
        <v>970</v>
      </c>
      <c r="J691" s="4" t="s">
        <v>1240</v>
      </c>
      <c r="K691" s="3">
        <v>2</v>
      </c>
      <c r="L691" s="3"/>
      <c r="M691" s="3"/>
      <c r="N691" s="3"/>
      <c r="O691" s="3"/>
      <c r="P691" s="3"/>
      <c r="Q691" s="3"/>
      <c r="R691" s="3">
        <v>2</v>
      </c>
      <c r="S691" s="3" t="s">
        <v>51</v>
      </c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2.75" customHeight="1" x14ac:dyDescent="0.2">
      <c r="A692" s="3">
        <v>2020</v>
      </c>
      <c r="B692" s="3" t="s">
        <v>1241</v>
      </c>
      <c r="C692" s="3" t="str">
        <f>VLOOKUP($B692, '[1]HURDAT Query'!$A$1:$F$1030, 3, 0)</f>
        <v>THETA</v>
      </c>
      <c r="D692" s="3" t="str">
        <f>VLOOKUP($B692, '[1]HURDAT Query'!$A$1:$F$1030, 4, 0)</f>
        <v>NA</v>
      </c>
      <c r="E692" s="3" t="str">
        <f>VLOOKUP($B692, '[1]HURDAT Query'!$A$1:$F$1030, 5, 0)</f>
        <v>NA</v>
      </c>
      <c r="F692" s="3" t="str">
        <f>VLOOKUP($B692, '[1]HURDAT Query'!$A$1:$F$1030, 6, 0)</f>
        <v>NA</v>
      </c>
      <c r="G692" s="3" t="str">
        <f>_xlfn.IFNA(VLOOKUP(B692, '[1]Landfall Stats'!A:G, 7, 0), "No LF")</f>
        <v>No LF</v>
      </c>
      <c r="H692" s="3" t="str">
        <f>_xlfn.IFNA(VLOOKUP(B692, '[1]Landfall Stats'!A:G, 5, 0), "No LF")</f>
        <v>No LF</v>
      </c>
      <c r="I692" s="3" t="str">
        <f>_xlfn.IFNA(VLOOKUP(B692, '[1]Landfall Stats'!A:G, 6, 0), "No LF")</f>
        <v>No LF</v>
      </c>
      <c r="J692" s="4" t="s">
        <v>1242</v>
      </c>
      <c r="K692" s="3">
        <v>0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2.75" customHeight="1" x14ac:dyDescent="0.2">
      <c r="A693" s="3">
        <v>2020</v>
      </c>
      <c r="B693" s="3" t="s">
        <v>1243</v>
      </c>
      <c r="C693" s="3" t="str">
        <f>VLOOKUP($B693, '[1]HURDAT Query'!$A$1:$F$1030, 3, 0)</f>
        <v>IOTA</v>
      </c>
      <c r="D693" s="3">
        <f>VLOOKUP($B693, '[1]HURDAT Query'!$A$1:$F$1030, 4, 0)</f>
        <v>4</v>
      </c>
      <c r="E693" s="3">
        <f>VLOOKUP($B693, '[1]HURDAT Query'!$A$1:$F$1030, 5, 0)</f>
        <v>135</v>
      </c>
      <c r="F693" s="3">
        <f>VLOOKUP($B693, '[1]HURDAT Query'!$A$1:$F$1030, 6, 0)</f>
        <v>917</v>
      </c>
      <c r="G693" s="3" t="str">
        <f>_xlfn.IFNA(VLOOKUP(B693, '[1]Landfall Stats'!A:G, 7, 0), "No LF")</f>
        <v>No LF</v>
      </c>
      <c r="H693" s="3" t="str">
        <f>_xlfn.IFNA(VLOOKUP(B693, '[1]Landfall Stats'!A:G, 5, 0), "No LF")</f>
        <v>No LF</v>
      </c>
      <c r="I693" s="3" t="str">
        <f>_xlfn.IFNA(VLOOKUP(B693, '[1]Landfall Stats'!A:G, 6, 0), "No LF")</f>
        <v>No LF</v>
      </c>
      <c r="J693" s="4" t="s">
        <v>1244</v>
      </c>
      <c r="K693" s="3">
        <v>0</v>
      </c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2.75" customHeight="1" x14ac:dyDescent="0.2">
      <c r="A694" s="3">
        <v>2021</v>
      </c>
      <c r="B694" s="3" t="s">
        <v>1245</v>
      </c>
      <c r="C694" s="3" t="str">
        <f>VLOOKUP($B694, '[1]HURDAT Query'!$A$1:$F$1030, 3, 0)</f>
        <v>ANA</v>
      </c>
      <c r="D694" s="3" t="str">
        <f>VLOOKUP($B694, '[1]HURDAT Query'!$A$1:$F$1030, 4, 0)</f>
        <v>NA</v>
      </c>
      <c r="E694" s="3" t="str">
        <f>VLOOKUP($B694, '[1]HURDAT Query'!$A$1:$F$1030, 5, 0)</f>
        <v>NA</v>
      </c>
      <c r="F694" s="3" t="str">
        <f>VLOOKUP($B694, '[1]HURDAT Query'!$A$1:$F$1030, 6, 0)</f>
        <v>NA</v>
      </c>
      <c r="G694" s="3" t="str">
        <f>_xlfn.IFNA(VLOOKUP(B694, '[1]Landfall Stats'!A:G, 7, 0), "No LF")</f>
        <v>No LF</v>
      </c>
      <c r="H694" s="3" t="str">
        <f>_xlfn.IFNA(VLOOKUP(B694, '[1]Landfall Stats'!A:G, 5, 0), "No LF")</f>
        <v>No LF</v>
      </c>
      <c r="I694" s="3" t="str">
        <f>_xlfn.IFNA(VLOOKUP(B694, '[1]Landfall Stats'!A:G, 6, 0), "No LF")</f>
        <v>No LF</v>
      </c>
      <c r="J694" s="4" t="s">
        <v>1246</v>
      </c>
      <c r="K694" s="3">
        <v>0</v>
      </c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2.75" customHeight="1" x14ac:dyDescent="0.2">
      <c r="A695" s="3">
        <v>2021</v>
      </c>
      <c r="B695" s="3" t="s">
        <v>1247</v>
      </c>
      <c r="C695" s="3" t="str">
        <f>VLOOKUP($B695, '[1]HURDAT Query'!$A$1:$F$1030, 3, 0)</f>
        <v>BILL</v>
      </c>
      <c r="D695" s="3" t="str">
        <f>VLOOKUP($B695, '[1]HURDAT Query'!$A$1:$F$1030, 4, 0)</f>
        <v>NA</v>
      </c>
      <c r="E695" s="3" t="str">
        <f>VLOOKUP($B695, '[1]HURDAT Query'!$A$1:$F$1030, 5, 0)</f>
        <v>NA</v>
      </c>
      <c r="F695" s="3" t="str">
        <f>VLOOKUP($B695, '[1]HURDAT Query'!$A$1:$F$1030, 6, 0)</f>
        <v>NA</v>
      </c>
      <c r="G695" s="3" t="str">
        <f>_xlfn.IFNA(VLOOKUP(B695, '[1]Landfall Stats'!A:G, 7, 0), "No LF")</f>
        <v>No LF</v>
      </c>
      <c r="H695" s="3" t="str">
        <f>_xlfn.IFNA(VLOOKUP(B695, '[1]Landfall Stats'!A:G, 5, 0), "No LF")</f>
        <v>No LF</v>
      </c>
      <c r="I695" s="3" t="str">
        <f>_xlfn.IFNA(VLOOKUP(B695, '[1]Landfall Stats'!A:G, 6, 0), "No LF")</f>
        <v>No LF</v>
      </c>
      <c r="J695" s="4" t="s">
        <v>1248</v>
      </c>
      <c r="K695" s="3">
        <v>0</v>
      </c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3.5" customHeight="1" x14ac:dyDescent="0.2">
      <c r="A696" s="3">
        <v>2021</v>
      </c>
      <c r="B696" s="3" t="s">
        <v>1249</v>
      </c>
      <c r="C696" s="3" t="str">
        <f>VLOOKUP($B696, '[1]HURDAT Query'!$A$1:$F$1030, 3, 0)</f>
        <v>CLAUDETTE</v>
      </c>
      <c r="D696" s="3" t="str">
        <f>VLOOKUP($B696, '[1]HURDAT Query'!$A$1:$F$1030, 4, 0)</f>
        <v>NA</v>
      </c>
      <c r="E696" s="3" t="str">
        <f>VLOOKUP($B696, '[1]HURDAT Query'!$A$1:$F$1030, 5, 0)</f>
        <v>NA</v>
      </c>
      <c r="F696" s="3" t="str">
        <f>VLOOKUP($B696, '[1]HURDAT Query'!$A$1:$F$1030, 6, 0)</f>
        <v>NA</v>
      </c>
      <c r="G696" s="3" t="str">
        <f>_xlfn.IFNA(VLOOKUP(B696, '[1]Landfall Stats'!A:G, 7, 0), "No LF")</f>
        <v>No LF</v>
      </c>
      <c r="H696" s="3" t="str">
        <f>_xlfn.IFNA(VLOOKUP(B696, '[1]Landfall Stats'!A:G, 5, 0), "No LF")</f>
        <v>No LF</v>
      </c>
      <c r="I696" s="3" t="str">
        <f>_xlfn.IFNA(VLOOKUP(B696, '[1]Landfall Stats'!A:G, 6, 0), "No LF")</f>
        <v>No LF</v>
      </c>
      <c r="J696" s="4" t="s">
        <v>1250</v>
      </c>
      <c r="K696" s="3">
        <v>4</v>
      </c>
      <c r="L696" s="3"/>
      <c r="M696" s="3"/>
      <c r="N696" s="3"/>
      <c r="O696" s="3"/>
      <c r="P696" s="3"/>
      <c r="Q696" s="3"/>
      <c r="R696" s="3"/>
      <c r="S696" s="3"/>
      <c r="T696" s="3">
        <v>2</v>
      </c>
      <c r="U696" s="3" t="s">
        <v>308</v>
      </c>
      <c r="V696" s="3"/>
      <c r="W696" s="3"/>
      <c r="X696" s="3">
        <v>2</v>
      </c>
      <c r="Y696" s="3" t="s">
        <v>308</v>
      </c>
      <c r="Z696" s="3"/>
      <c r="AA696" s="3"/>
      <c r="AB696" s="3"/>
      <c r="AC696" s="3"/>
      <c r="AD696" s="3"/>
      <c r="AE696" s="3"/>
    </row>
    <row r="697" spans="1:31" ht="12.75" customHeight="1" x14ac:dyDescent="0.2">
      <c r="A697" s="3">
        <v>2021</v>
      </c>
      <c r="B697" s="3" t="s">
        <v>1251</v>
      </c>
      <c r="C697" s="3" t="str">
        <f>VLOOKUP($B697, '[1]HURDAT Query'!$A$1:$F$1030, 3, 0)</f>
        <v>DANNY</v>
      </c>
      <c r="D697" s="3" t="str">
        <f>VLOOKUP($B697, '[1]HURDAT Query'!$A$1:$F$1030, 4, 0)</f>
        <v>NA</v>
      </c>
      <c r="E697" s="3" t="str">
        <f>VLOOKUP($B697, '[1]HURDAT Query'!$A$1:$F$1030, 5, 0)</f>
        <v>NA</v>
      </c>
      <c r="F697" s="3" t="str">
        <f>VLOOKUP($B697, '[1]HURDAT Query'!$A$1:$F$1030, 6, 0)</f>
        <v>NA</v>
      </c>
      <c r="G697" s="3" t="str">
        <f>_xlfn.IFNA(VLOOKUP(B697, '[1]Landfall Stats'!A:G, 7, 0), "No LF")</f>
        <v>No LF</v>
      </c>
      <c r="H697" s="3" t="str">
        <f>_xlfn.IFNA(VLOOKUP(B697, '[1]Landfall Stats'!A:G, 5, 0), "No LF")</f>
        <v>No LF</v>
      </c>
      <c r="I697" s="3" t="str">
        <f>_xlfn.IFNA(VLOOKUP(B697, '[1]Landfall Stats'!A:G, 6, 0), "No LF")</f>
        <v>No LF</v>
      </c>
      <c r="J697" s="4" t="s">
        <v>1252</v>
      </c>
      <c r="K697" s="3">
        <v>0</v>
      </c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2.75" customHeight="1" x14ac:dyDescent="0.2">
      <c r="A698" s="3">
        <v>2021</v>
      </c>
      <c r="B698" s="3" t="s">
        <v>1253</v>
      </c>
      <c r="C698" s="3" t="str">
        <f>VLOOKUP($B698, '[1]HURDAT Query'!$A$1:$F$1030, 3, 0)</f>
        <v>ELSA</v>
      </c>
      <c r="D698" s="3">
        <f>VLOOKUP($B698, '[1]HURDAT Query'!$A$1:$F$1030, 4, 0)</f>
        <v>1</v>
      </c>
      <c r="E698" s="3">
        <f>VLOOKUP($B698, '[1]HURDAT Query'!$A$1:$F$1030, 5, 0)</f>
        <v>75</v>
      </c>
      <c r="F698" s="3">
        <f>VLOOKUP($B698, '[1]HURDAT Query'!$A$1:$F$1030, 6, 0)</f>
        <v>991</v>
      </c>
      <c r="G698" s="3" t="str">
        <f>_xlfn.IFNA(VLOOKUP(B698, '[1]Landfall Stats'!A:G, 7, 0), "No LF")</f>
        <v>NA</v>
      </c>
      <c r="H698" s="3">
        <f>_xlfn.IFNA(VLOOKUP(B698, '[1]Landfall Stats'!A:G, 5, 0), "No LF")</f>
        <v>55</v>
      </c>
      <c r="I698" s="3">
        <f>_xlfn.IFNA(VLOOKUP(B698, '[1]Landfall Stats'!A:G, 6, 0), "No LF")</f>
        <v>999</v>
      </c>
      <c r="J698" s="4" t="s">
        <v>1254</v>
      </c>
      <c r="K698" s="3">
        <v>1</v>
      </c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>
        <v>1</v>
      </c>
      <c r="Y698" s="3" t="s">
        <v>51</v>
      </c>
      <c r="Z698" s="3"/>
      <c r="AA698" s="3"/>
      <c r="AB698" s="3"/>
      <c r="AC698" s="3"/>
      <c r="AD698" s="3"/>
      <c r="AE698" s="3"/>
    </row>
    <row r="699" spans="1:31" ht="12.75" customHeight="1" x14ac:dyDescent="0.2">
      <c r="A699" s="3">
        <v>2021</v>
      </c>
      <c r="B699" s="3" t="s">
        <v>1255</v>
      </c>
      <c r="C699" s="3" t="str">
        <f>VLOOKUP($B699, '[1]HURDAT Query'!$A$1:$F$1030, 3, 0)</f>
        <v>FRED</v>
      </c>
      <c r="D699" s="3" t="str">
        <f>VLOOKUP($B699, '[1]HURDAT Query'!$A$1:$F$1030, 4, 0)</f>
        <v>NA</v>
      </c>
      <c r="E699" s="3" t="str">
        <f>VLOOKUP($B699, '[1]HURDAT Query'!$A$1:$F$1030, 5, 0)</f>
        <v>NA</v>
      </c>
      <c r="F699" s="3" t="str">
        <f>VLOOKUP($B699, '[1]HURDAT Query'!$A$1:$F$1030, 6, 0)</f>
        <v>NA</v>
      </c>
      <c r="G699" s="3" t="str">
        <f>_xlfn.IFNA(VLOOKUP(B699, '[1]Landfall Stats'!A:G, 7, 0), "No LF")</f>
        <v>NA</v>
      </c>
      <c r="H699" s="3">
        <f>_xlfn.IFNA(VLOOKUP(B699, '[1]Landfall Stats'!A:G, 5, 0), "No LF")</f>
        <v>55</v>
      </c>
      <c r="I699" s="3">
        <f>_xlfn.IFNA(VLOOKUP(B699, '[1]Landfall Stats'!A:G, 6, 0), "No LF")</f>
        <v>991</v>
      </c>
      <c r="J699" s="4" t="s">
        <v>1256</v>
      </c>
      <c r="K699" s="3">
        <v>6</v>
      </c>
      <c r="L699" s="3"/>
      <c r="M699" s="3"/>
      <c r="N699" s="3"/>
      <c r="O699" s="3"/>
      <c r="P699" s="3"/>
      <c r="Q699" s="3"/>
      <c r="R699" s="3"/>
      <c r="S699" s="3"/>
      <c r="T699" s="3">
        <v>6</v>
      </c>
      <c r="U699" s="3" t="s">
        <v>290</v>
      </c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2.75" customHeight="1" x14ac:dyDescent="0.2">
      <c r="A700" s="3">
        <v>2021</v>
      </c>
      <c r="B700" s="3" t="s">
        <v>1257</v>
      </c>
      <c r="C700" s="3" t="str">
        <f>VLOOKUP($B700, '[1]HURDAT Query'!$A$1:$F$1030, 3, 0)</f>
        <v>GRACE</v>
      </c>
      <c r="D700" s="3">
        <f>VLOOKUP($B700, '[1]HURDAT Query'!$A$1:$F$1030, 4, 0)</f>
        <v>3</v>
      </c>
      <c r="E700" s="3">
        <f>VLOOKUP($B700, '[1]HURDAT Query'!$A$1:$F$1030, 5, 0)</f>
        <v>105</v>
      </c>
      <c r="F700" s="3">
        <f>VLOOKUP($B700, '[1]HURDAT Query'!$A$1:$F$1030, 6, 0)</f>
        <v>967</v>
      </c>
      <c r="G700" s="3" t="str">
        <f>_xlfn.IFNA(VLOOKUP(B700, '[1]Landfall Stats'!A:G, 7, 0), "No LF")</f>
        <v>No LF</v>
      </c>
      <c r="H700" s="3" t="str">
        <f>_xlfn.IFNA(VLOOKUP(B700, '[1]Landfall Stats'!A:G, 5, 0), "No LF")</f>
        <v>No LF</v>
      </c>
      <c r="I700" s="3" t="str">
        <f>_xlfn.IFNA(VLOOKUP(B700, '[1]Landfall Stats'!A:G, 6, 0), "No LF")</f>
        <v>No LF</v>
      </c>
      <c r="J700" s="4" t="s">
        <v>1258</v>
      </c>
      <c r="K700" s="3">
        <v>0</v>
      </c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12.75" customHeight="1" x14ac:dyDescent="0.2">
      <c r="A701" s="3">
        <v>2021</v>
      </c>
      <c r="B701" s="3" t="s">
        <v>1259</v>
      </c>
      <c r="C701" s="3" t="str">
        <f>VLOOKUP($B701, '[1]HURDAT Query'!$A$1:$F$1030, 3, 0)</f>
        <v>HENRI</v>
      </c>
      <c r="D701" s="3">
        <f>VLOOKUP($B701, '[1]HURDAT Query'!$A$1:$F$1030, 4, 0)</f>
        <v>1</v>
      </c>
      <c r="E701" s="3">
        <f>VLOOKUP($B701, '[1]HURDAT Query'!$A$1:$F$1030, 5, 0)</f>
        <v>65</v>
      </c>
      <c r="F701" s="3">
        <f>VLOOKUP($B701, '[1]HURDAT Query'!$A$1:$F$1030, 6, 0)</f>
        <v>986</v>
      </c>
      <c r="G701" s="3" t="str">
        <f>_xlfn.IFNA(VLOOKUP(B701, '[1]Landfall Stats'!A:G, 7, 0), "No LF")</f>
        <v>No LF</v>
      </c>
      <c r="H701" s="3" t="str">
        <f>_xlfn.IFNA(VLOOKUP(B701, '[1]Landfall Stats'!A:G, 5, 0), "No LF")</f>
        <v>No LF</v>
      </c>
      <c r="I701" s="3" t="str">
        <f>_xlfn.IFNA(VLOOKUP(B701, '[1]Landfall Stats'!A:G, 6, 0), "No LF")</f>
        <v>No LF</v>
      </c>
      <c r="J701" s="4" t="s">
        <v>1260</v>
      </c>
      <c r="K701" s="3">
        <v>0</v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2.75" customHeight="1" x14ac:dyDescent="0.2">
      <c r="A702" s="3">
        <v>2021</v>
      </c>
      <c r="B702" s="3" t="s">
        <v>1261</v>
      </c>
      <c r="C702" s="3" t="str">
        <f>VLOOKUP($B702, '[1]HURDAT Query'!$A$1:$F$1030, 3, 0)</f>
        <v>IDA</v>
      </c>
      <c r="D702" s="3">
        <f>VLOOKUP($B702, '[1]HURDAT Query'!$A$1:$F$1030, 4, 0)</f>
        <v>4</v>
      </c>
      <c r="E702" s="3">
        <f>VLOOKUP($B702, '[1]HURDAT Query'!$A$1:$F$1030, 5, 0)</f>
        <v>130</v>
      </c>
      <c r="F702" s="3">
        <f>VLOOKUP($B702, '[1]HURDAT Query'!$A$1:$F$1030, 6, 0)</f>
        <v>929</v>
      </c>
      <c r="G702" s="3">
        <f>_xlfn.IFNA(VLOOKUP(B702, '[1]Landfall Stats'!A:G, 7, 0), "No LF")</f>
        <v>4</v>
      </c>
      <c r="H702" s="3">
        <f>_xlfn.IFNA(VLOOKUP(B702, '[1]Landfall Stats'!A:G, 5, 0), "No LF")</f>
        <v>130</v>
      </c>
      <c r="I702" s="3">
        <f>_xlfn.IFNA(VLOOKUP(B702, '[1]Landfall Stats'!A:G, 6, 0), "No LF")</f>
        <v>931</v>
      </c>
      <c r="J702" s="4" t="s">
        <v>1262</v>
      </c>
      <c r="K702" s="3">
        <v>55</v>
      </c>
      <c r="L702" s="3">
        <v>1</v>
      </c>
      <c r="M702" s="3" t="s">
        <v>37</v>
      </c>
      <c r="N702" s="3"/>
      <c r="O702" s="3"/>
      <c r="P702" s="3"/>
      <c r="Q702" s="3"/>
      <c r="R702" s="3"/>
      <c r="S702" s="3"/>
      <c r="T702" s="3">
        <v>49</v>
      </c>
      <c r="U702" s="3" t="s">
        <v>1263</v>
      </c>
      <c r="V702" s="3">
        <v>2</v>
      </c>
      <c r="W702" s="3" t="s">
        <v>37</v>
      </c>
      <c r="X702" s="3"/>
      <c r="Y702" s="3"/>
      <c r="Z702" s="3">
        <v>1</v>
      </c>
      <c r="AA702" s="3" t="s">
        <v>1194</v>
      </c>
      <c r="AB702" s="3"/>
      <c r="AC702" s="3"/>
      <c r="AD702" s="3">
        <v>2</v>
      </c>
      <c r="AE702" s="3" t="s">
        <v>1187</v>
      </c>
    </row>
    <row r="703" spans="1:31" ht="12.75" customHeight="1" x14ac:dyDescent="0.2">
      <c r="A703" s="3">
        <v>2021</v>
      </c>
      <c r="B703" s="3" t="s">
        <v>1264</v>
      </c>
      <c r="C703" s="3" t="str">
        <f>VLOOKUP($B703, '[1]HURDAT Query'!$A$1:$F$1030, 3, 0)</f>
        <v>KATE</v>
      </c>
      <c r="D703" s="3" t="str">
        <f>VLOOKUP($B703, '[1]HURDAT Query'!$A$1:$F$1030, 4, 0)</f>
        <v>NA</v>
      </c>
      <c r="E703" s="3" t="str">
        <f>VLOOKUP($B703, '[1]HURDAT Query'!$A$1:$F$1030, 5, 0)</f>
        <v>NA</v>
      </c>
      <c r="F703" s="3" t="str">
        <f>VLOOKUP($B703, '[1]HURDAT Query'!$A$1:$F$1030, 6, 0)</f>
        <v>NA</v>
      </c>
      <c r="G703" s="3" t="str">
        <f>_xlfn.IFNA(VLOOKUP(B703, '[1]Landfall Stats'!A:G, 7, 0), "No LF")</f>
        <v>No LF</v>
      </c>
      <c r="H703" s="3" t="str">
        <f>_xlfn.IFNA(VLOOKUP(B703, '[1]Landfall Stats'!A:G, 5, 0), "No LF")</f>
        <v>No LF</v>
      </c>
      <c r="I703" s="3" t="str">
        <f>_xlfn.IFNA(VLOOKUP(B703, '[1]Landfall Stats'!A:G, 6, 0), "No LF")</f>
        <v>No LF</v>
      </c>
      <c r="J703" s="4" t="s">
        <v>1265</v>
      </c>
      <c r="K703" s="3">
        <v>0</v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2.75" customHeight="1" x14ac:dyDescent="0.2">
      <c r="A704" s="3">
        <v>2021</v>
      </c>
      <c r="B704" s="3" t="s">
        <v>1266</v>
      </c>
      <c r="C704" s="3" t="str">
        <f>VLOOKUP($B704, '[1]HURDAT Query'!$A$1:$F$1030, 3, 0)</f>
        <v>JULIAN</v>
      </c>
      <c r="D704" s="3" t="str">
        <f>VLOOKUP($B704, '[1]HURDAT Query'!$A$1:$F$1030, 4, 0)</f>
        <v>NA</v>
      </c>
      <c r="E704" s="3" t="str">
        <f>VLOOKUP($B704, '[1]HURDAT Query'!$A$1:$F$1030, 5, 0)</f>
        <v>NA</v>
      </c>
      <c r="F704" s="3" t="str">
        <f>VLOOKUP($B704, '[1]HURDAT Query'!$A$1:$F$1030, 6, 0)</f>
        <v>NA</v>
      </c>
      <c r="G704" s="3" t="str">
        <f>_xlfn.IFNA(VLOOKUP(B704, '[1]Landfall Stats'!A:G, 7, 0), "No LF")</f>
        <v>No LF</v>
      </c>
      <c r="H704" s="3" t="str">
        <f>_xlfn.IFNA(VLOOKUP(B704, '[1]Landfall Stats'!A:G, 5, 0), "No LF")</f>
        <v>No LF</v>
      </c>
      <c r="I704" s="3" t="str">
        <f>_xlfn.IFNA(VLOOKUP(B704, '[1]Landfall Stats'!A:G, 6, 0), "No LF")</f>
        <v>No LF</v>
      </c>
      <c r="J704" s="4" t="s">
        <v>1267</v>
      </c>
      <c r="K704" s="3">
        <v>0</v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2.75" customHeight="1" x14ac:dyDescent="0.2">
      <c r="A705" s="3">
        <v>2021</v>
      </c>
      <c r="B705" s="3" t="s">
        <v>1268</v>
      </c>
      <c r="C705" s="3" t="str">
        <f>VLOOKUP($B705, '[1]HURDAT Query'!$A$1:$F$1030, 3, 0)</f>
        <v>LARRY</v>
      </c>
      <c r="D705" s="3">
        <f>VLOOKUP($B705, '[1]HURDAT Query'!$A$1:$F$1030, 4, 0)</f>
        <v>3</v>
      </c>
      <c r="E705" s="3">
        <f>VLOOKUP($B705, '[1]HURDAT Query'!$A$1:$F$1030, 5, 0)</f>
        <v>110</v>
      </c>
      <c r="F705" s="3">
        <f>VLOOKUP($B705, '[1]HURDAT Query'!$A$1:$F$1030, 6, 0)</f>
        <v>953</v>
      </c>
      <c r="G705" s="3" t="str">
        <f>_xlfn.IFNA(VLOOKUP(B705, '[1]Landfall Stats'!A:G, 7, 0), "No LF")</f>
        <v>No LF</v>
      </c>
      <c r="H705" s="3" t="str">
        <f>_xlfn.IFNA(VLOOKUP(B705, '[1]Landfall Stats'!A:G, 5, 0), "No LF")</f>
        <v>No LF</v>
      </c>
      <c r="I705" s="3" t="str">
        <f>_xlfn.IFNA(VLOOKUP(B705, '[1]Landfall Stats'!A:G, 6, 0), "No LF")</f>
        <v>No LF</v>
      </c>
      <c r="J705" s="4" t="s">
        <v>1269</v>
      </c>
      <c r="K705" s="3">
        <v>3</v>
      </c>
      <c r="L705" s="3"/>
      <c r="M705" s="3"/>
      <c r="N705" s="3">
        <v>2</v>
      </c>
      <c r="O705" s="3" t="s">
        <v>1270</v>
      </c>
      <c r="P705" s="3"/>
      <c r="Q705" s="3"/>
      <c r="R705" s="3">
        <v>1</v>
      </c>
      <c r="S705" s="3" t="s">
        <v>104</v>
      </c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2.75" customHeight="1" x14ac:dyDescent="0.2">
      <c r="A706" s="3">
        <v>2021</v>
      </c>
      <c r="B706" s="3" t="s">
        <v>1271</v>
      </c>
      <c r="C706" s="3" t="str">
        <f>VLOOKUP($B706, '[1]HURDAT Query'!$A$1:$F$1030, 3, 0)</f>
        <v>MINDY</v>
      </c>
      <c r="D706" s="3" t="str">
        <f>VLOOKUP($B706, '[1]HURDAT Query'!$A$1:$F$1030, 4, 0)</f>
        <v>NA</v>
      </c>
      <c r="E706" s="3" t="str">
        <f>VLOOKUP($B706, '[1]HURDAT Query'!$A$1:$F$1030, 5, 0)</f>
        <v>NA</v>
      </c>
      <c r="F706" s="3" t="str">
        <f>VLOOKUP($B706, '[1]HURDAT Query'!$A$1:$F$1030, 6, 0)</f>
        <v>NA</v>
      </c>
      <c r="G706" s="3" t="str">
        <f>_xlfn.IFNA(VLOOKUP(B706, '[1]Landfall Stats'!A:G, 7, 0), "No LF")</f>
        <v>No LF</v>
      </c>
      <c r="H706" s="3" t="str">
        <f>_xlfn.IFNA(VLOOKUP(B706, '[1]Landfall Stats'!A:G, 5, 0), "No LF")</f>
        <v>No LF</v>
      </c>
      <c r="I706" s="3" t="str">
        <f>_xlfn.IFNA(VLOOKUP(B706, '[1]Landfall Stats'!A:G, 6, 0), "No LF")</f>
        <v>No LF</v>
      </c>
      <c r="J706" s="4" t="s">
        <v>1272</v>
      </c>
      <c r="K706" s="3">
        <v>0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12.75" customHeight="1" x14ac:dyDescent="0.2">
      <c r="A707" s="3">
        <v>2021</v>
      </c>
      <c r="B707" s="3" t="s">
        <v>1273</v>
      </c>
      <c r="C707" s="3" t="str">
        <f>VLOOKUP($B707, '[1]HURDAT Query'!$A$1:$F$1030, 3, 0)</f>
        <v>NICHOLAS</v>
      </c>
      <c r="D707" s="3">
        <f>VLOOKUP($B707, '[1]HURDAT Query'!$A$1:$F$1030, 4, 0)</f>
        <v>1</v>
      </c>
      <c r="E707" s="3">
        <f>VLOOKUP($B707, '[1]HURDAT Query'!$A$1:$F$1030, 5, 0)</f>
        <v>65</v>
      </c>
      <c r="F707" s="3">
        <f>VLOOKUP($B707, '[1]HURDAT Query'!$A$1:$F$1030, 6, 0)</f>
        <v>988</v>
      </c>
      <c r="G707" s="3">
        <f>_xlfn.IFNA(VLOOKUP(B707, '[1]Landfall Stats'!A:G, 7, 0), "No LF")</f>
        <v>1</v>
      </c>
      <c r="H707" s="3">
        <f>_xlfn.IFNA(VLOOKUP(B707, '[1]Landfall Stats'!A:G, 5, 0), "No LF")</f>
        <v>65</v>
      </c>
      <c r="I707" s="3">
        <f>_xlfn.IFNA(VLOOKUP(B707, '[1]Landfall Stats'!A:G, 6, 0), "No LF")</f>
        <v>991</v>
      </c>
      <c r="J707" s="4" t="s">
        <v>1274</v>
      </c>
      <c r="K707" s="3">
        <v>2</v>
      </c>
      <c r="L707" s="3"/>
      <c r="M707" s="3"/>
      <c r="N707" s="3"/>
      <c r="O707" s="3"/>
      <c r="P707" s="3"/>
      <c r="Q707" s="3"/>
      <c r="R707" s="3"/>
      <c r="S707" s="3"/>
      <c r="T707" s="3">
        <v>2</v>
      </c>
      <c r="U707" s="3" t="s">
        <v>308</v>
      </c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2.75" customHeight="1" x14ac:dyDescent="0.2">
      <c r="A708" s="3">
        <v>2021</v>
      </c>
      <c r="B708" s="3" t="s">
        <v>1275</v>
      </c>
      <c r="C708" s="3" t="str">
        <f>VLOOKUP($B708, '[1]HURDAT Query'!$A$1:$F$1030, 3, 0)</f>
        <v>ODETTE</v>
      </c>
      <c r="D708" s="3" t="str">
        <f>VLOOKUP($B708, '[1]HURDAT Query'!$A$1:$F$1030, 4, 0)</f>
        <v>NA</v>
      </c>
      <c r="E708" s="3" t="str">
        <f>VLOOKUP($B708, '[1]HURDAT Query'!$A$1:$F$1030, 5, 0)</f>
        <v>NA</v>
      </c>
      <c r="F708" s="3" t="str">
        <f>VLOOKUP($B708, '[1]HURDAT Query'!$A$1:$F$1030, 6, 0)</f>
        <v>NA</v>
      </c>
      <c r="G708" s="3" t="str">
        <f>_xlfn.IFNA(VLOOKUP(B708, '[1]Landfall Stats'!A:G, 7, 0), "No LF")</f>
        <v>No LF</v>
      </c>
      <c r="H708" s="3" t="str">
        <f>_xlfn.IFNA(VLOOKUP(B708, '[1]Landfall Stats'!A:G, 5, 0), "No LF")</f>
        <v>No LF</v>
      </c>
      <c r="I708" s="3" t="str">
        <f>_xlfn.IFNA(VLOOKUP(B708, '[1]Landfall Stats'!A:G, 6, 0), "No LF")</f>
        <v>No LF</v>
      </c>
      <c r="J708" s="4" t="s">
        <v>1276</v>
      </c>
      <c r="K708" s="3">
        <v>0</v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2.75" customHeight="1" x14ac:dyDescent="0.2">
      <c r="A709" s="3">
        <v>2021</v>
      </c>
      <c r="B709" s="3" t="s">
        <v>1277</v>
      </c>
      <c r="C709" s="3" t="str">
        <f>VLOOKUP($B709, '[1]HURDAT Query'!$A$1:$F$1030, 3, 0)</f>
        <v>PETER</v>
      </c>
      <c r="D709" s="3" t="str">
        <f>VLOOKUP($B709, '[1]HURDAT Query'!$A$1:$F$1030, 4, 0)</f>
        <v>NA</v>
      </c>
      <c r="E709" s="3" t="str">
        <f>VLOOKUP($B709, '[1]HURDAT Query'!$A$1:$F$1030, 5, 0)</f>
        <v>NA</v>
      </c>
      <c r="F709" s="3" t="str">
        <f>VLOOKUP($B709, '[1]HURDAT Query'!$A$1:$F$1030, 6, 0)</f>
        <v>NA</v>
      </c>
      <c r="G709" s="3" t="str">
        <f>_xlfn.IFNA(VLOOKUP(B709, '[1]Landfall Stats'!A:G, 7, 0), "No LF")</f>
        <v>No LF</v>
      </c>
      <c r="H709" s="3" t="str">
        <f>_xlfn.IFNA(VLOOKUP(B709, '[1]Landfall Stats'!A:G, 5, 0), "No LF")</f>
        <v>No LF</v>
      </c>
      <c r="I709" s="3" t="str">
        <f>_xlfn.IFNA(VLOOKUP(B709, '[1]Landfall Stats'!A:G, 6, 0), "No LF")</f>
        <v>No LF</v>
      </c>
      <c r="J709" s="4" t="s">
        <v>1278</v>
      </c>
      <c r="K709" s="3">
        <v>0</v>
      </c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ht="12.75" customHeight="1" x14ac:dyDescent="0.2">
      <c r="A710" s="3">
        <v>2021</v>
      </c>
      <c r="B710" s="3" t="s">
        <v>1279</v>
      </c>
      <c r="C710" s="3" t="str">
        <f>VLOOKUP($B710, '[1]HURDAT Query'!$A$1:$F$1030, 3, 0)</f>
        <v>ROSE</v>
      </c>
      <c r="D710" s="3" t="str">
        <f>VLOOKUP($B710, '[1]HURDAT Query'!$A$1:$F$1030, 4, 0)</f>
        <v>NA</v>
      </c>
      <c r="E710" s="3" t="str">
        <f>VLOOKUP($B710, '[1]HURDAT Query'!$A$1:$F$1030, 5, 0)</f>
        <v>NA</v>
      </c>
      <c r="F710" s="3" t="str">
        <f>VLOOKUP($B710, '[1]HURDAT Query'!$A$1:$F$1030, 6, 0)</f>
        <v>NA</v>
      </c>
      <c r="G710" s="3" t="str">
        <f>_xlfn.IFNA(VLOOKUP(B710, '[1]Landfall Stats'!A:G, 7, 0), "No LF")</f>
        <v>No LF</v>
      </c>
      <c r="H710" s="3" t="str">
        <f>_xlfn.IFNA(VLOOKUP(B710, '[1]Landfall Stats'!A:G, 5, 0), "No LF")</f>
        <v>No LF</v>
      </c>
      <c r="I710" s="3" t="str">
        <f>_xlfn.IFNA(VLOOKUP(B710, '[1]Landfall Stats'!A:G, 6, 0), "No LF")</f>
        <v>No LF</v>
      </c>
      <c r="J710" s="4" t="s">
        <v>1280</v>
      </c>
      <c r="K710" s="3">
        <v>0</v>
      </c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ht="12.75" customHeight="1" x14ac:dyDescent="0.2">
      <c r="A711" s="3">
        <v>2021</v>
      </c>
      <c r="B711" s="3" t="s">
        <v>1281</v>
      </c>
      <c r="C711" s="3" t="str">
        <f>VLOOKUP($B711, '[1]HURDAT Query'!$A$1:$F$1030, 3, 0)</f>
        <v>SAM</v>
      </c>
      <c r="D711" s="3">
        <f>VLOOKUP($B711, '[1]HURDAT Query'!$A$1:$F$1030, 4, 0)</f>
        <v>4</v>
      </c>
      <c r="E711" s="3">
        <f>VLOOKUP($B711, '[1]HURDAT Query'!$A$1:$F$1030, 5, 0)</f>
        <v>135</v>
      </c>
      <c r="F711" s="3">
        <f>VLOOKUP($B711, '[1]HURDAT Query'!$A$1:$F$1030, 6, 0)</f>
        <v>927</v>
      </c>
      <c r="G711" s="3" t="str">
        <f>_xlfn.IFNA(VLOOKUP(B711, '[1]Landfall Stats'!A:G, 7, 0), "No LF")</f>
        <v>No LF</v>
      </c>
      <c r="H711" s="3" t="str">
        <f>_xlfn.IFNA(VLOOKUP(B711, '[1]Landfall Stats'!A:G, 5, 0), "No LF")</f>
        <v>No LF</v>
      </c>
      <c r="I711" s="3" t="str">
        <f>_xlfn.IFNA(VLOOKUP(B711, '[1]Landfall Stats'!A:G, 6, 0), "No LF")</f>
        <v>No LF</v>
      </c>
      <c r="J711" s="4" t="s">
        <v>1282</v>
      </c>
      <c r="K711" s="3">
        <v>0</v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2.75" customHeight="1" x14ac:dyDescent="0.2">
      <c r="A712" s="3">
        <v>2021</v>
      </c>
      <c r="B712" s="3" t="s">
        <v>1283</v>
      </c>
      <c r="C712" s="3" t="str">
        <f>VLOOKUP($B712, '[1]HURDAT Query'!$A$1:$F$1030, 3, 0)</f>
        <v>TERESA</v>
      </c>
      <c r="D712" s="3" t="str">
        <f>VLOOKUP($B712, '[1]HURDAT Query'!$A$1:$F$1030, 4, 0)</f>
        <v>NA</v>
      </c>
      <c r="E712" s="3" t="str">
        <f>VLOOKUP($B712, '[1]HURDAT Query'!$A$1:$F$1030, 5, 0)</f>
        <v>NA</v>
      </c>
      <c r="F712" s="3" t="str">
        <f>VLOOKUP($B712, '[1]HURDAT Query'!$A$1:$F$1030, 6, 0)</f>
        <v>NA</v>
      </c>
      <c r="G712" s="3" t="str">
        <f>_xlfn.IFNA(VLOOKUP(B712, '[1]Landfall Stats'!A:G, 7, 0), "No LF")</f>
        <v>No LF</v>
      </c>
      <c r="H712" s="3" t="str">
        <f>_xlfn.IFNA(VLOOKUP(B712, '[1]Landfall Stats'!A:G, 5, 0), "No LF")</f>
        <v>No LF</v>
      </c>
      <c r="I712" s="3" t="str">
        <f>_xlfn.IFNA(VLOOKUP(B712, '[1]Landfall Stats'!A:G, 6, 0), "No LF")</f>
        <v>No LF</v>
      </c>
      <c r="J712" s="4" t="s">
        <v>1284</v>
      </c>
      <c r="K712" s="3">
        <v>0</v>
      </c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ht="12.75" customHeight="1" x14ac:dyDescent="0.2">
      <c r="A713" s="3">
        <v>2021</v>
      </c>
      <c r="B713" s="3" t="s">
        <v>1285</v>
      </c>
      <c r="C713" s="3" t="str">
        <f>VLOOKUP($B713, '[1]HURDAT Query'!$A$1:$F$1030, 3, 0)</f>
        <v>VICTOR</v>
      </c>
      <c r="D713" s="3" t="str">
        <f>VLOOKUP($B713, '[1]HURDAT Query'!$A$1:$F$1030, 4, 0)</f>
        <v>NA</v>
      </c>
      <c r="E713" s="3" t="str">
        <f>VLOOKUP($B713, '[1]HURDAT Query'!$A$1:$F$1030, 5, 0)</f>
        <v>NA</v>
      </c>
      <c r="F713" s="3" t="str">
        <f>VLOOKUP($B713, '[1]HURDAT Query'!$A$1:$F$1030, 6, 0)</f>
        <v>NA</v>
      </c>
      <c r="G713" s="3" t="str">
        <f>_xlfn.IFNA(VLOOKUP(B713, '[1]Landfall Stats'!A:G, 7, 0), "No LF")</f>
        <v>No LF</v>
      </c>
      <c r="H713" s="3" t="str">
        <f>_xlfn.IFNA(VLOOKUP(B713, '[1]Landfall Stats'!A:G, 5, 0), "No LF")</f>
        <v>No LF</v>
      </c>
      <c r="I713" s="3" t="str">
        <f>_xlfn.IFNA(VLOOKUP(B713, '[1]Landfall Stats'!A:G, 6, 0), "No LF")</f>
        <v>No LF</v>
      </c>
      <c r="J713" s="4" t="s">
        <v>1286</v>
      </c>
      <c r="K713" s="3">
        <v>0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2.75" customHeight="1" x14ac:dyDescent="0.2">
      <c r="A714" s="3">
        <v>2021</v>
      </c>
      <c r="B714" s="3" t="s">
        <v>1287</v>
      </c>
      <c r="C714" s="3" t="str">
        <f>VLOOKUP($B714, '[1]HURDAT Query'!$A$1:$F$1030, 3, 0)</f>
        <v>WANDA</v>
      </c>
      <c r="D714" s="3" t="str">
        <f>VLOOKUP($B714, '[1]HURDAT Query'!$A$1:$F$1030, 4, 0)</f>
        <v>NA</v>
      </c>
      <c r="E714" s="3" t="str">
        <f>VLOOKUP($B714, '[1]HURDAT Query'!$A$1:$F$1030, 5, 0)</f>
        <v>NA</v>
      </c>
      <c r="F714" s="3" t="str">
        <f>VLOOKUP($B714, '[1]HURDAT Query'!$A$1:$F$1030, 6, 0)</f>
        <v>NA</v>
      </c>
      <c r="G714" s="3" t="str">
        <f>_xlfn.IFNA(VLOOKUP(B714, '[1]Landfall Stats'!A:G, 7, 0), "No LF")</f>
        <v>No LF</v>
      </c>
      <c r="H714" s="3" t="str">
        <f>_xlfn.IFNA(VLOOKUP(B714, '[1]Landfall Stats'!A:G, 5, 0), "No LF")</f>
        <v>No LF</v>
      </c>
      <c r="I714" s="3" t="str">
        <f>_xlfn.IFNA(VLOOKUP(B714, '[1]Landfall Stats'!A:G, 6, 0), "No LF")</f>
        <v>No LF</v>
      </c>
      <c r="J714" s="4" t="s">
        <v>1288</v>
      </c>
      <c r="K714" s="3">
        <v>0</v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2.75" customHeight="1" x14ac:dyDescent="0.2">
      <c r="A715" s="3">
        <v>2022</v>
      </c>
      <c r="B715" s="3" t="s">
        <v>1289</v>
      </c>
      <c r="C715" s="3" t="str">
        <f>VLOOKUP($B715, '[1]HURDAT Query'!$A$1:$F$1030, 3, 0)</f>
        <v>ALEX</v>
      </c>
      <c r="D715" s="3" t="str">
        <f>VLOOKUP($B715, '[1]HURDAT Query'!$A$1:$F$1030, 4, 0)</f>
        <v>NA</v>
      </c>
      <c r="E715" s="3" t="str">
        <f>VLOOKUP($B715, '[1]HURDAT Query'!$A$1:$F$1030, 5, 0)</f>
        <v>NA</v>
      </c>
      <c r="F715" s="3" t="str">
        <f>VLOOKUP($B715, '[1]HURDAT Query'!$A$1:$F$1030, 6, 0)</f>
        <v>NA</v>
      </c>
      <c r="G715" s="3" t="str">
        <f>_xlfn.IFNA(VLOOKUP(B715, '[1]Landfall Stats'!A:G, 7, 0), "No LF")</f>
        <v>NA</v>
      </c>
      <c r="H715" s="3">
        <f>_xlfn.IFNA(VLOOKUP(B715, '[1]Landfall Stats'!A:G, 5, 0), "No LF")</f>
        <v>35</v>
      </c>
      <c r="I715" s="3">
        <f>_xlfn.IFNA(VLOOKUP(B715, '[1]Landfall Stats'!A:G, 6, 0), "No LF")</f>
        <v>1002</v>
      </c>
      <c r="J715" s="4" t="s">
        <v>1290</v>
      </c>
      <c r="K715" s="3">
        <v>0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2.75" customHeight="1" x14ac:dyDescent="0.2">
      <c r="A716" s="3">
        <v>2022</v>
      </c>
      <c r="B716" s="3" t="s">
        <v>1291</v>
      </c>
      <c r="C716" s="3" t="str">
        <f>VLOOKUP($B716, '[1]HURDAT Query'!$A$1:$F$1030, 3, 0)</f>
        <v>BONNIE</v>
      </c>
      <c r="D716" s="3">
        <f>VLOOKUP($B716, '[1]HURDAT Query'!$A$1:$F$1030, 4, 0)</f>
        <v>3</v>
      </c>
      <c r="E716" s="3">
        <f>VLOOKUP($B716, '[1]HURDAT Query'!$A$1:$F$1030, 5, 0)</f>
        <v>100</v>
      </c>
      <c r="F716" s="3">
        <f>VLOOKUP($B716, '[1]HURDAT Query'!$A$1:$F$1030, 6, 0)</f>
        <v>964</v>
      </c>
      <c r="G716" s="3" t="str">
        <f>_xlfn.IFNA(VLOOKUP(B716, '[1]Landfall Stats'!A:G, 7, 0), "No LF")</f>
        <v>No LF</v>
      </c>
      <c r="H716" s="3" t="str">
        <f>_xlfn.IFNA(VLOOKUP(B716, '[1]Landfall Stats'!A:G, 5, 0), "No LF")</f>
        <v>No LF</v>
      </c>
      <c r="I716" s="3" t="str">
        <f>_xlfn.IFNA(VLOOKUP(B716, '[1]Landfall Stats'!A:G, 6, 0), "No LF")</f>
        <v>No LF</v>
      </c>
      <c r="J716" s="4" t="s">
        <v>1292</v>
      </c>
      <c r="K716" s="3">
        <v>0</v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2.75" customHeight="1" x14ac:dyDescent="0.2">
      <c r="A717" s="3">
        <v>2022</v>
      </c>
      <c r="B717" s="3" t="s">
        <v>1293</v>
      </c>
      <c r="C717" s="3" t="str">
        <f>VLOOKUP($B717, '[1]HURDAT Query'!$A$1:$F$1030, 3, 0)</f>
        <v>COLIN</v>
      </c>
      <c r="D717" s="3" t="str">
        <f>VLOOKUP($B717, '[1]HURDAT Query'!$A$1:$F$1030, 4, 0)</f>
        <v>NA</v>
      </c>
      <c r="E717" s="3" t="str">
        <f>VLOOKUP($B717, '[1]HURDAT Query'!$A$1:$F$1030, 5, 0)</f>
        <v>NA</v>
      </c>
      <c r="F717" s="3" t="str">
        <f>VLOOKUP($B717, '[1]HURDAT Query'!$A$1:$F$1030, 6, 0)</f>
        <v>NA</v>
      </c>
      <c r="G717" s="3" t="str">
        <f>_xlfn.IFNA(VLOOKUP(B717, '[1]Landfall Stats'!A:G, 7, 0), "No LF")</f>
        <v>No LF</v>
      </c>
      <c r="H717" s="3" t="str">
        <f>_xlfn.IFNA(VLOOKUP(B717, '[1]Landfall Stats'!A:G, 5, 0), "No LF")</f>
        <v>No LF</v>
      </c>
      <c r="I717" s="3" t="str">
        <f>_xlfn.IFNA(VLOOKUP(B717, '[1]Landfall Stats'!A:G, 6, 0), "No LF")</f>
        <v>No LF</v>
      </c>
      <c r="J717" s="4" t="s">
        <v>1294</v>
      </c>
      <c r="K717" s="3">
        <v>1</v>
      </c>
      <c r="L717" s="3"/>
      <c r="M717" s="3"/>
      <c r="N717" s="3">
        <v>1</v>
      </c>
      <c r="O717" s="3" t="s">
        <v>290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2.75" customHeight="1" x14ac:dyDescent="0.2">
      <c r="A718" s="3">
        <v>2022</v>
      </c>
      <c r="B718" s="3" t="s">
        <v>1295</v>
      </c>
      <c r="C718" s="3" t="str">
        <f>VLOOKUP($B718, '[1]HURDAT Query'!$A$1:$F$1030, 3, 0)</f>
        <v>DANIELLE</v>
      </c>
      <c r="D718" s="3">
        <f>VLOOKUP($B718, '[1]HURDAT Query'!$A$1:$F$1030, 4, 0)</f>
        <v>1</v>
      </c>
      <c r="E718" s="3">
        <f>VLOOKUP($B718, '[1]HURDAT Query'!$A$1:$F$1030, 5, 0)</f>
        <v>75</v>
      </c>
      <c r="F718" s="3">
        <f>VLOOKUP($B718, '[1]HURDAT Query'!$A$1:$F$1030, 6, 0)</f>
        <v>972</v>
      </c>
      <c r="G718" s="3" t="str">
        <f>_xlfn.IFNA(VLOOKUP(B718, '[1]Landfall Stats'!A:G, 7, 0), "No LF")</f>
        <v>No LF</v>
      </c>
      <c r="H718" s="3" t="str">
        <f>_xlfn.IFNA(VLOOKUP(B718, '[1]Landfall Stats'!A:G, 5, 0), "No LF")</f>
        <v>No LF</v>
      </c>
      <c r="I718" s="3" t="str">
        <f>_xlfn.IFNA(VLOOKUP(B718, '[1]Landfall Stats'!A:G, 6, 0), "No LF")</f>
        <v>No LF</v>
      </c>
      <c r="J718" s="4" t="s">
        <v>1296</v>
      </c>
      <c r="K718" s="3">
        <v>0</v>
      </c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2.75" customHeight="1" x14ac:dyDescent="0.2">
      <c r="A719" s="3">
        <v>2022</v>
      </c>
      <c r="B719" s="3" t="s">
        <v>1297</v>
      </c>
      <c r="C719" s="3" t="str">
        <f>VLOOKUP($B719, '[1]HURDAT Query'!$A$1:$F$1030, 3, 0)</f>
        <v>EARL</v>
      </c>
      <c r="D719" s="3">
        <f>VLOOKUP($B719, '[1]HURDAT Query'!$A$1:$F$1030, 4, 0)</f>
        <v>2</v>
      </c>
      <c r="E719" s="3">
        <f>VLOOKUP($B719, '[1]HURDAT Query'!$A$1:$F$1030, 5, 0)</f>
        <v>95</v>
      </c>
      <c r="F719" s="3">
        <f>VLOOKUP($B719, '[1]HURDAT Query'!$A$1:$F$1030, 6, 0)</f>
        <v>948</v>
      </c>
      <c r="G719" s="3" t="str">
        <f>_xlfn.IFNA(VLOOKUP(B719, '[1]Landfall Stats'!A:G, 7, 0), "No LF")</f>
        <v>No LF</v>
      </c>
      <c r="H719" s="3" t="str">
        <f>_xlfn.IFNA(VLOOKUP(B719, '[1]Landfall Stats'!A:G, 5, 0), "No LF")</f>
        <v>No LF</v>
      </c>
      <c r="I719" s="3" t="str">
        <f>_xlfn.IFNA(VLOOKUP(B719, '[1]Landfall Stats'!A:G, 6, 0), "No LF")</f>
        <v>No LF</v>
      </c>
      <c r="J719" s="4" t="s">
        <v>1298</v>
      </c>
      <c r="K719" s="3">
        <v>0</v>
      </c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12.75" customHeight="1" x14ac:dyDescent="0.2">
      <c r="A720" s="3">
        <v>2022</v>
      </c>
      <c r="B720" s="3" t="s">
        <v>1299</v>
      </c>
      <c r="C720" s="3" t="str">
        <f>VLOOKUP($B720, '[1]HURDAT Query'!$A$1:$F$1030, 3, 0)</f>
        <v>FIONA</v>
      </c>
      <c r="D720" s="3">
        <f>VLOOKUP($B720, '[1]HURDAT Query'!$A$1:$F$1030, 4, 0)</f>
        <v>4</v>
      </c>
      <c r="E720" s="3">
        <f>VLOOKUP($B720, '[1]HURDAT Query'!$A$1:$F$1030, 5, 0)</f>
        <v>120</v>
      </c>
      <c r="F720" s="3">
        <f>VLOOKUP($B720, '[1]HURDAT Query'!$A$1:$F$1030, 6, 0)</f>
        <v>931</v>
      </c>
      <c r="G720" s="3" t="str">
        <f>_xlfn.IFNA(VLOOKUP(B720, '[1]Landfall Stats'!A:G, 7, 0), "No LF")</f>
        <v>No LF</v>
      </c>
      <c r="H720" s="3" t="str">
        <f>_xlfn.IFNA(VLOOKUP(B720, '[1]Landfall Stats'!A:G, 5, 0), "No LF")</f>
        <v>No LF</v>
      </c>
      <c r="I720" s="3" t="str">
        <f>_xlfn.IFNA(VLOOKUP(B720, '[1]Landfall Stats'!A:G, 6, 0), "No LF")</f>
        <v>No LF</v>
      </c>
      <c r="J720" s="4" t="s">
        <v>1300</v>
      </c>
      <c r="K720" s="3">
        <v>0</v>
      </c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2.75" customHeight="1" x14ac:dyDescent="0.2">
      <c r="A721" s="3">
        <v>2022</v>
      </c>
      <c r="B721" s="3" t="s">
        <v>1301</v>
      </c>
      <c r="C721" s="3" t="str">
        <f>VLOOKUP($B721, '[1]HURDAT Query'!$A$1:$F$1030, 3, 0)</f>
        <v>GASTON</v>
      </c>
      <c r="D721" s="3" t="str">
        <f>VLOOKUP($B721, '[1]HURDAT Query'!$A$1:$F$1030, 4, 0)</f>
        <v>NA</v>
      </c>
      <c r="E721" s="3" t="str">
        <f>VLOOKUP($B721, '[1]HURDAT Query'!$A$1:$F$1030, 5, 0)</f>
        <v>NA</v>
      </c>
      <c r="F721" s="3" t="str">
        <f>VLOOKUP($B721, '[1]HURDAT Query'!$A$1:$F$1030, 6, 0)</f>
        <v>NA</v>
      </c>
      <c r="G721" s="3" t="str">
        <f>_xlfn.IFNA(VLOOKUP(B721, '[1]Landfall Stats'!A:G, 7, 0), "No LF")</f>
        <v>No LF</v>
      </c>
      <c r="H721" s="3" t="str">
        <f>_xlfn.IFNA(VLOOKUP(B721, '[1]Landfall Stats'!A:G, 5, 0), "No LF")</f>
        <v>No LF</v>
      </c>
      <c r="I721" s="3" t="str">
        <f>_xlfn.IFNA(VLOOKUP(B721, '[1]Landfall Stats'!A:G, 6, 0), "No LF")</f>
        <v>No LF</v>
      </c>
      <c r="J721" s="4" t="s">
        <v>1302</v>
      </c>
      <c r="K721" s="3">
        <v>0</v>
      </c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ht="12.75" customHeight="1" x14ac:dyDescent="0.2">
      <c r="A722" s="3">
        <v>2022</v>
      </c>
      <c r="B722" s="3" t="s">
        <v>1303</v>
      </c>
      <c r="C722" s="3" t="str">
        <f>VLOOKUP($B722, '[1]HURDAT Query'!$A$1:$F$1030, 3, 0)</f>
        <v>IAN</v>
      </c>
      <c r="D722" s="3">
        <f>VLOOKUP($B722, '[1]HURDAT Query'!$A$1:$F$1030, 4, 0)</f>
        <v>5</v>
      </c>
      <c r="E722" s="3">
        <f>VLOOKUP($B722, '[1]HURDAT Query'!$A$1:$F$1030, 5, 0)</f>
        <v>140</v>
      </c>
      <c r="F722" s="3">
        <f>VLOOKUP($B722, '[1]HURDAT Query'!$A$1:$F$1030, 6, 0)</f>
        <v>937</v>
      </c>
      <c r="G722" s="3">
        <f>_xlfn.IFNA(VLOOKUP(B722, '[1]Landfall Stats'!A:G, 7, 0), "No LF")</f>
        <v>4</v>
      </c>
      <c r="H722" s="3">
        <f>_xlfn.IFNA(VLOOKUP(B722, '[1]Landfall Stats'!A:G, 5, 0), "No LF")</f>
        <v>130</v>
      </c>
      <c r="I722" s="3">
        <f>_xlfn.IFNA(VLOOKUP(B722, '[1]Landfall Stats'!A:G, 6, 0), "No LF")</f>
        <v>941</v>
      </c>
      <c r="J722" s="4" t="s">
        <v>1304</v>
      </c>
      <c r="K722" s="3">
        <v>66</v>
      </c>
      <c r="L722" s="3">
        <v>41</v>
      </c>
      <c r="M722" s="3" t="s">
        <v>51</v>
      </c>
      <c r="N722" s="3">
        <v>1</v>
      </c>
      <c r="O722" s="3" t="s">
        <v>1305</v>
      </c>
      <c r="P722" s="3">
        <v>8</v>
      </c>
      <c r="Q722" s="3" t="s">
        <v>51</v>
      </c>
      <c r="R722" s="3"/>
      <c r="S722" s="3"/>
      <c r="T722" s="3">
        <v>12</v>
      </c>
      <c r="U722" s="3" t="s">
        <v>51</v>
      </c>
      <c r="V722" s="3">
        <v>4</v>
      </c>
      <c r="W722" s="3" t="s">
        <v>51</v>
      </c>
      <c r="X722" s="3"/>
      <c r="Y722" s="3"/>
      <c r="Z722" s="3"/>
      <c r="AA722" s="3"/>
      <c r="AB722" s="3"/>
      <c r="AC722" s="3"/>
      <c r="AD722" s="3"/>
      <c r="AE722" s="3"/>
    </row>
    <row r="723" spans="1:31" ht="12.75" customHeight="1" x14ac:dyDescent="0.2">
      <c r="A723" s="3">
        <v>2022</v>
      </c>
      <c r="B723" s="3" t="s">
        <v>1306</v>
      </c>
      <c r="C723" s="3" t="str">
        <f>VLOOKUP($B723, '[1]HURDAT Query'!$A$1:$F$1030, 3, 0)</f>
        <v>HERMINE</v>
      </c>
      <c r="D723" s="3" t="str">
        <f>VLOOKUP($B723, '[1]HURDAT Query'!$A$1:$F$1030, 4, 0)</f>
        <v>NA</v>
      </c>
      <c r="E723" s="3" t="str">
        <f>VLOOKUP($B723, '[1]HURDAT Query'!$A$1:$F$1030, 5, 0)</f>
        <v>NA</v>
      </c>
      <c r="F723" s="3" t="str">
        <f>VLOOKUP($B723, '[1]HURDAT Query'!$A$1:$F$1030, 6, 0)</f>
        <v>NA</v>
      </c>
      <c r="G723" s="3" t="str">
        <f>_xlfn.IFNA(VLOOKUP(B723, '[1]Landfall Stats'!A:G, 7, 0), "No LF")</f>
        <v>No LF</v>
      </c>
      <c r="H723" s="3" t="str">
        <f>_xlfn.IFNA(VLOOKUP(B723, '[1]Landfall Stats'!A:G, 5, 0), "No LF")</f>
        <v>No LF</v>
      </c>
      <c r="I723" s="3" t="str">
        <f>_xlfn.IFNA(VLOOKUP(B723, '[1]Landfall Stats'!A:G, 6, 0), "No LF")</f>
        <v>No LF</v>
      </c>
      <c r="J723" s="4" t="s">
        <v>1307</v>
      </c>
      <c r="K723" s="3">
        <v>0</v>
      </c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ht="12.75" customHeight="1" x14ac:dyDescent="0.2">
      <c r="A724" s="3">
        <v>2022</v>
      </c>
      <c r="B724" s="3" t="s">
        <v>1308</v>
      </c>
      <c r="C724" s="3" t="str">
        <f>VLOOKUP($B724, '[1]HURDAT Query'!$A$1:$F$1030, 3, 0)</f>
        <v>ELEVEN</v>
      </c>
      <c r="D724" s="3" t="str">
        <f>VLOOKUP($B724, '[1]HURDAT Query'!$A$1:$F$1030, 4, 0)</f>
        <v>NA</v>
      </c>
      <c r="E724" s="3" t="str">
        <f>VLOOKUP($B724, '[1]HURDAT Query'!$A$1:$F$1030, 5, 0)</f>
        <v>NA</v>
      </c>
      <c r="F724" s="3" t="str">
        <f>VLOOKUP($B724, '[1]HURDAT Query'!$A$1:$F$1030, 6, 0)</f>
        <v>NA</v>
      </c>
      <c r="G724" s="3" t="str">
        <f>_xlfn.IFNA(VLOOKUP(B724, '[1]Landfall Stats'!A:G, 7, 0), "No LF")</f>
        <v>No LF</v>
      </c>
      <c r="H724" s="3" t="str">
        <f>_xlfn.IFNA(VLOOKUP(B724, '[1]Landfall Stats'!A:G, 5, 0), "No LF")</f>
        <v>No LF</v>
      </c>
      <c r="I724" s="3" t="str">
        <f>_xlfn.IFNA(VLOOKUP(B724, '[1]Landfall Stats'!A:G, 6, 0), "No LF")</f>
        <v>No LF</v>
      </c>
      <c r="J724" s="4" t="s">
        <v>1309</v>
      </c>
      <c r="K724" s="3">
        <v>0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2.75" customHeight="1" x14ac:dyDescent="0.2">
      <c r="A725" s="3">
        <v>2022</v>
      </c>
      <c r="B725" s="3" t="s">
        <v>1310</v>
      </c>
      <c r="C725" s="3" t="str">
        <f>VLOOKUP($B725, '[1]HURDAT Query'!$A$1:$F$1030, 3, 0)</f>
        <v>TWELVE</v>
      </c>
      <c r="D725" s="3" t="str">
        <f>VLOOKUP($B725, '[1]HURDAT Query'!$A$1:$F$1030, 4, 0)</f>
        <v>NA</v>
      </c>
      <c r="E725" s="3" t="str">
        <f>VLOOKUP($B725, '[1]HURDAT Query'!$A$1:$F$1030, 5, 0)</f>
        <v>NA</v>
      </c>
      <c r="F725" s="3" t="str">
        <f>VLOOKUP($B725, '[1]HURDAT Query'!$A$1:$F$1030, 6, 0)</f>
        <v>NA</v>
      </c>
      <c r="G725" s="3" t="str">
        <f>_xlfn.IFNA(VLOOKUP(B725, '[1]Landfall Stats'!A:G, 7, 0), "No LF")</f>
        <v>No LF</v>
      </c>
      <c r="H725" s="3" t="str">
        <f>_xlfn.IFNA(VLOOKUP(B725, '[1]Landfall Stats'!A:G, 5, 0), "No LF")</f>
        <v>No LF</v>
      </c>
      <c r="I725" s="3" t="str">
        <f>_xlfn.IFNA(VLOOKUP(B725, '[1]Landfall Stats'!A:G, 6, 0), "No LF")</f>
        <v>No LF</v>
      </c>
      <c r="J725" s="4" t="s">
        <v>1311</v>
      </c>
      <c r="K725" s="3">
        <v>0</v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2.75" customHeight="1" x14ac:dyDescent="0.2">
      <c r="A726" s="3">
        <v>2022</v>
      </c>
      <c r="B726" s="3" t="s">
        <v>1312</v>
      </c>
      <c r="C726" s="3" t="str">
        <f>VLOOKUP($B726, '[1]HURDAT Query'!$A$1:$F$1030, 3, 0)</f>
        <v>JULIA</v>
      </c>
      <c r="D726" s="3">
        <f>VLOOKUP($B726, '[1]HURDAT Query'!$A$1:$F$1030, 4, 0)</f>
        <v>1</v>
      </c>
      <c r="E726" s="3">
        <f>VLOOKUP($B726, '[1]HURDAT Query'!$A$1:$F$1030, 5, 0)</f>
        <v>75</v>
      </c>
      <c r="F726" s="3">
        <f>VLOOKUP($B726, '[1]HURDAT Query'!$A$1:$F$1030, 6, 0)</f>
        <v>982</v>
      </c>
      <c r="G726" s="3" t="str">
        <f>_xlfn.IFNA(VLOOKUP(B726, '[1]Landfall Stats'!A:G, 7, 0), "No LF")</f>
        <v>No LF</v>
      </c>
      <c r="H726" s="3" t="str">
        <f>_xlfn.IFNA(VLOOKUP(B726, '[1]Landfall Stats'!A:G, 5, 0), "No LF")</f>
        <v>No LF</v>
      </c>
      <c r="I726" s="3" t="str">
        <f>_xlfn.IFNA(VLOOKUP(B726, '[1]Landfall Stats'!A:G, 6, 0), "No LF")</f>
        <v>No LF</v>
      </c>
      <c r="J726" s="4" t="s">
        <v>1313</v>
      </c>
      <c r="K726" s="3">
        <v>0</v>
      </c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2.75" customHeight="1" x14ac:dyDescent="0.2">
      <c r="A727" s="3">
        <v>2022</v>
      </c>
      <c r="B727" s="3" t="s">
        <v>1314</v>
      </c>
      <c r="C727" s="3" t="str">
        <f>VLOOKUP($B727, '[1]HURDAT Query'!$A$1:$F$1030, 3, 0)</f>
        <v>KARL</v>
      </c>
      <c r="D727" s="3" t="str">
        <f>VLOOKUP($B727, '[1]HURDAT Query'!$A$1:$F$1030, 4, 0)</f>
        <v>NA</v>
      </c>
      <c r="E727" s="3" t="str">
        <f>VLOOKUP($B727, '[1]HURDAT Query'!$A$1:$F$1030, 5, 0)</f>
        <v>NA</v>
      </c>
      <c r="F727" s="3" t="str">
        <f>VLOOKUP($B727, '[1]HURDAT Query'!$A$1:$F$1030, 6, 0)</f>
        <v>NA</v>
      </c>
      <c r="G727" s="3" t="str">
        <f>_xlfn.IFNA(VLOOKUP(B727, '[1]Landfall Stats'!A:G, 7, 0), "No LF")</f>
        <v>No LF</v>
      </c>
      <c r="H727" s="3" t="str">
        <f>_xlfn.IFNA(VLOOKUP(B727, '[1]Landfall Stats'!A:G, 5, 0), "No LF")</f>
        <v>No LF</v>
      </c>
      <c r="I727" s="3" t="str">
        <f>_xlfn.IFNA(VLOOKUP(B727, '[1]Landfall Stats'!A:G, 6, 0), "No LF")</f>
        <v>No LF</v>
      </c>
      <c r="J727" s="4" t="s">
        <v>1315</v>
      </c>
      <c r="K727" s="3">
        <v>0</v>
      </c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2.75" customHeight="1" x14ac:dyDescent="0.2">
      <c r="A728" s="3">
        <v>2022</v>
      </c>
      <c r="B728" s="3" t="s">
        <v>1316</v>
      </c>
      <c r="C728" s="3" t="str">
        <f>VLOOKUP($B728, '[1]HURDAT Query'!$A$1:$F$1030, 3, 0)</f>
        <v>LISA</v>
      </c>
      <c r="D728" s="3">
        <f>VLOOKUP($B728, '[1]HURDAT Query'!$A$1:$F$1030, 4, 0)</f>
        <v>1</v>
      </c>
      <c r="E728" s="3">
        <f>VLOOKUP($B728, '[1]HURDAT Query'!$A$1:$F$1030, 5, 0)</f>
        <v>80</v>
      </c>
      <c r="F728" s="3">
        <f>VLOOKUP($B728, '[1]HURDAT Query'!$A$1:$F$1030, 6, 0)</f>
        <v>985</v>
      </c>
      <c r="G728" s="3" t="str">
        <f>_xlfn.IFNA(VLOOKUP(B728, '[1]Landfall Stats'!A:G, 7, 0), "No LF")</f>
        <v>No LF</v>
      </c>
      <c r="H728" s="3" t="str">
        <f>_xlfn.IFNA(VLOOKUP(B728, '[1]Landfall Stats'!A:G, 5, 0), "No LF")</f>
        <v>No LF</v>
      </c>
      <c r="I728" s="3" t="str">
        <f>_xlfn.IFNA(VLOOKUP(B728, '[1]Landfall Stats'!A:G, 6, 0), "No LF")</f>
        <v>No LF</v>
      </c>
      <c r="J728" s="4" t="s">
        <v>1317</v>
      </c>
      <c r="K728" s="3">
        <v>0</v>
      </c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2.75" customHeight="1" x14ac:dyDescent="0.2">
      <c r="A729" s="3">
        <v>2022</v>
      </c>
      <c r="B729" s="3" t="s">
        <v>1318</v>
      </c>
      <c r="C729" s="3" t="str">
        <f>VLOOKUP($B729, '[1]HURDAT Query'!$A$1:$F$1030, 3, 0)</f>
        <v>MARTIN</v>
      </c>
      <c r="D729" s="3">
        <f>VLOOKUP($B729, '[1]HURDAT Query'!$A$1:$F$1030, 4, 0)</f>
        <v>1</v>
      </c>
      <c r="E729" s="3">
        <f>VLOOKUP($B729, '[1]HURDAT Query'!$A$1:$F$1030, 5, 0)</f>
        <v>75</v>
      </c>
      <c r="F729" s="3">
        <f>VLOOKUP($B729, '[1]HURDAT Query'!$A$1:$F$1030, 6, 0)</f>
        <v>965</v>
      </c>
      <c r="G729" s="3" t="str">
        <f>_xlfn.IFNA(VLOOKUP(B729, '[1]Landfall Stats'!A:G, 7, 0), "No LF")</f>
        <v>No LF</v>
      </c>
      <c r="H729" s="3" t="str">
        <f>_xlfn.IFNA(VLOOKUP(B729, '[1]Landfall Stats'!A:G, 5, 0), "No LF")</f>
        <v>No LF</v>
      </c>
      <c r="I729" s="3" t="str">
        <f>_xlfn.IFNA(VLOOKUP(B729, '[1]Landfall Stats'!A:G, 6, 0), "No LF")</f>
        <v>No LF</v>
      </c>
      <c r="J729" s="4" t="s">
        <v>1319</v>
      </c>
      <c r="K729" s="3">
        <v>0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2.75" customHeight="1" x14ac:dyDescent="0.2">
      <c r="A730" s="3">
        <v>2022</v>
      </c>
      <c r="B730" s="3" t="s">
        <v>1320</v>
      </c>
      <c r="C730" s="3" t="str">
        <f>VLOOKUP($B730, '[1]HURDAT Query'!$A$1:$F$1030, 3, 0)</f>
        <v>NICOLE</v>
      </c>
      <c r="D730" s="3">
        <f>VLOOKUP($B730, '[1]HURDAT Query'!$A$1:$F$1030, 4, 0)</f>
        <v>1</v>
      </c>
      <c r="E730" s="3">
        <f>VLOOKUP($B730, '[1]HURDAT Query'!$A$1:$F$1030, 5, 0)</f>
        <v>65</v>
      </c>
      <c r="F730" s="3">
        <f>VLOOKUP($B730, '[1]HURDAT Query'!$A$1:$F$1030, 6, 0)</f>
        <v>980</v>
      </c>
      <c r="G730" s="3">
        <f>_xlfn.IFNA(VLOOKUP(B730, '[1]Landfall Stats'!A:G, 7, 0), "No LF")</f>
        <v>1</v>
      </c>
      <c r="H730" s="3">
        <f>_xlfn.IFNA(VLOOKUP(B730, '[1]Landfall Stats'!A:G, 5, 0), "No LF")</f>
        <v>65</v>
      </c>
      <c r="I730" s="3">
        <f>_xlfn.IFNA(VLOOKUP(B730, '[1]Landfall Stats'!A:G, 6, 0), "No LF")</f>
        <v>980</v>
      </c>
      <c r="J730" s="4" t="s">
        <v>1321</v>
      </c>
      <c r="K730" s="3">
        <v>0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2.75" customHeight="1" x14ac:dyDescent="0.2">
      <c r="A731" s="3">
        <v>2023</v>
      </c>
      <c r="B731" s="3" t="s">
        <v>1322</v>
      </c>
      <c r="C731" s="3" t="str">
        <f>VLOOKUP($B731, '[1]HURDAT Query'!$A$1:$F$1030, 3, 0)</f>
        <v>ARLENE</v>
      </c>
      <c r="D731" s="3" t="str">
        <f>VLOOKUP($B731, '[1]HURDAT Query'!$A$1:$F$1030, 4, 0)</f>
        <v>NA</v>
      </c>
      <c r="E731" s="3" t="str">
        <f>VLOOKUP($B731, '[1]HURDAT Query'!$A$1:$F$1030, 5, 0)</f>
        <v>NA</v>
      </c>
      <c r="F731" s="3" t="str">
        <f>VLOOKUP($B731, '[1]HURDAT Query'!$A$1:$F$1030, 6, 0)</f>
        <v>NA</v>
      </c>
      <c r="G731" s="3" t="str">
        <f>_xlfn.IFNA(VLOOKUP(B731, '[1]Landfall Stats'!A:G, 7, 0), "No LF")</f>
        <v>No LF</v>
      </c>
      <c r="H731" s="3" t="str">
        <f>_xlfn.IFNA(VLOOKUP(B731, '[1]Landfall Stats'!A:G, 5, 0), "No LF")</f>
        <v>No LF</v>
      </c>
      <c r="I731" s="3" t="str">
        <f>_xlfn.IFNA(VLOOKUP(B731, '[1]Landfall Stats'!A:G, 6, 0), "No LF")</f>
        <v>No LF</v>
      </c>
      <c r="J731" s="4" t="s">
        <v>1323</v>
      </c>
      <c r="K731" s="3">
        <v>0</v>
      </c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12.75" customHeight="1" x14ac:dyDescent="0.2">
      <c r="A732" s="3">
        <v>2023</v>
      </c>
      <c r="B732" s="3" t="s">
        <v>1324</v>
      </c>
      <c r="C732" s="3" t="str">
        <f>VLOOKUP($B732, '[1]HURDAT Query'!$A$1:$F$1030, 3, 0)</f>
        <v>BRET</v>
      </c>
      <c r="D732" s="3" t="str">
        <f>VLOOKUP($B732, '[1]HURDAT Query'!$A$1:$F$1030, 4, 0)</f>
        <v>NA</v>
      </c>
      <c r="E732" s="3" t="str">
        <f>VLOOKUP($B732, '[1]HURDAT Query'!$A$1:$F$1030, 5, 0)</f>
        <v>NA</v>
      </c>
      <c r="F732" s="3" t="str">
        <f>VLOOKUP($B732, '[1]HURDAT Query'!$A$1:$F$1030, 6, 0)</f>
        <v>NA</v>
      </c>
      <c r="G732" s="3" t="str">
        <f>_xlfn.IFNA(VLOOKUP(B732, '[1]Landfall Stats'!A:G, 7, 0), "No LF")</f>
        <v>No LF</v>
      </c>
      <c r="H732" s="3" t="str">
        <f>_xlfn.IFNA(VLOOKUP(B732, '[1]Landfall Stats'!A:G, 5, 0), "No LF")</f>
        <v>No LF</v>
      </c>
      <c r="I732" s="3" t="str">
        <f>_xlfn.IFNA(VLOOKUP(B732, '[1]Landfall Stats'!A:G, 6, 0), "No LF")</f>
        <v>No LF</v>
      </c>
      <c r="J732" s="4" t="s">
        <v>1325</v>
      </c>
      <c r="K732" s="3">
        <v>0</v>
      </c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2.75" customHeight="1" x14ac:dyDescent="0.2">
      <c r="A733" s="3">
        <v>2023</v>
      </c>
      <c r="B733" s="3" t="s">
        <v>1326</v>
      </c>
      <c r="C733" s="3" t="str">
        <f>VLOOKUP($B733, '[1]HURDAT Query'!$A$1:$F$1030, 3, 0)</f>
        <v>CINDY</v>
      </c>
      <c r="D733" s="3" t="str">
        <f>VLOOKUP($B733, '[1]HURDAT Query'!$A$1:$F$1030, 4, 0)</f>
        <v>NA</v>
      </c>
      <c r="E733" s="3" t="str">
        <f>VLOOKUP($B733, '[1]HURDAT Query'!$A$1:$F$1030, 5, 0)</f>
        <v>NA</v>
      </c>
      <c r="F733" s="3" t="str">
        <f>VLOOKUP($B733, '[1]HURDAT Query'!$A$1:$F$1030, 6, 0)</f>
        <v>NA</v>
      </c>
      <c r="G733" s="3" t="str">
        <f>_xlfn.IFNA(VLOOKUP(B733, '[1]Landfall Stats'!A:G, 7, 0), "No LF")</f>
        <v>No LF</v>
      </c>
      <c r="H733" s="3" t="str">
        <f>_xlfn.IFNA(VLOOKUP(B733, '[1]Landfall Stats'!A:G, 5, 0), "No LF")</f>
        <v>No LF</v>
      </c>
      <c r="I733" s="3" t="str">
        <f>_xlfn.IFNA(VLOOKUP(B733, '[1]Landfall Stats'!A:G, 6, 0), "No LF")</f>
        <v>No LF</v>
      </c>
      <c r="J733" s="4" t="s">
        <v>1327</v>
      </c>
      <c r="K733" s="3">
        <v>0</v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2.75" customHeight="1" x14ac:dyDescent="0.2">
      <c r="A734" s="3">
        <v>2023</v>
      </c>
      <c r="B734" s="3" t="s">
        <v>1328</v>
      </c>
      <c r="C734" s="3" t="str">
        <f>VLOOKUP($B734, '[1]HURDAT Query'!$A$1:$F$1030, 3, 0)</f>
        <v>DON</v>
      </c>
      <c r="D734" s="3">
        <f>VLOOKUP($B734, '[1]HURDAT Query'!$A$1:$F$1030, 4, 0)</f>
        <v>1</v>
      </c>
      <c r="E734" s="3">
        <f>VLOOKUP($B734, '[1]HURDAT Query'!$A$1:$F$1030, 5, 0)</f>
        <v>65</v>
      </c>
      <c r="F734" s="3">
        <f>VLOOKUP($B734, '[1]HURDAT Query'!$A$1:$F$1030, 6, 0)</f>
        <v>986</v>
      </c>
      <c r="G734" s="3" t="str">
        <f>_xlfn.IFNA(VLOOKUP(B734, '[1]Landfall Stats'!A:G, 7, 0), "No LF")</f>
        <v>No LF</v>
      </c>
      <c r="H734" s="3" t="str">
        <f>_xlfn.IFNA(VLOOKUP(B734, '[1]Landfall Stats'!A:G, 5, 0), "No LF")</f>
        <v>No LF</v>
      </c>
      <c r="I734" s="3" t="str">
        <f>_xlfn.IFNA(VLOOKUP(B734, '[1]Landfall Stats'!A:G, 6, 0), "No LF")</f>
        <v>No LF</v>
      </c>
      <c r="J734" s="4" t="s">
        <v>1329</v>
      </c>
      <c r="K734" s="3">
        <v>0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2.75" customHeight="1" x14ac:dyDescent="0.2">
      <c r="A735" s="3">
        <v>2023</v>
      </c>
      <c r="B735" s="3" t="s">
        <v>1330</v>
      </c>
      <c r="C735" s="3" t="str">
        <f>VLOOKUP($B735, '[1]HURDAT Query'!$A$1:$F$1030, 3, 0)</f>
        <v>GERT</v>
      </c>
      <c r="D735" s="3" t="str">
        <f>VLOOKUP($B735, '[1]HURDAT Query'!$A$1:$F$1030, 4, 0)</f>
        <v>NA</v>
      </c>
      <c r="E735" s="3" t="str">
        <f>VLOOKUP($B735, '[1]HURDAT Query'!$A$1:$F$1030, 5, 0)</f>
        <v>NA</v>
      </c>
      <c r="F735" s="3" t="str">
        <f>VLOOKUP($B735, '[1]HURDAT Query'!$A$1:$F$1030, 6, 0)</f>
        <v>NA</v>
      </c>
      <c r="G735" s="3" t="str">
        <f>_xlfn.IFNA(VLOOKUP(B735, '[1]Landfall Stats'!A:G, 7, 0), "No LF")</f>
        <v>No LF</v>
      </c>
      <c r="H735" s="3" t="str">
        <f>_xlfn.IFNA(VLOOKUP(B735, '[1]Landfall Stats'!A:G, 5, 0), "No LF")</f>
        <v>No LF</v>
      </c>
      <c r="I735" s="3" t="str">
        <f>_xlfn.IFNA(VLOOKUP(B735, '[1]Landfall Stats'!A:G, 6, 0), "No LF")</f>
        <v>No LF</v>
      </c>
      <c r="J735" s="4" t="s">
        <v>1331</v>
      </c>
      <c r="K735" s="3">
        <v>0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2.75" customHeight="1" x14ac:dyDescent="0.2">
      <c r="A736" s="3">
        <v>2023</v>
      </c>
      <c r="B736" s="3" t="s">
        <v>1332</v>
      </c>
      <c r="C736" s="3" t="str">
        <f>VLOOKUP($B736, '[1]HURDAT Query'!$A$1:$F$1030, 3, 0)</f>
        <v>EMILY</v>
      </c>
      <c r="D736" s="3" t="str">
        <f>VLOOKUP($B736, '[1]HURDAT Query'!$A$1:$F$1030, 4, 0)</f>
        <v>NA</v>
      </c>
      <c r="E736" s="3" t="str">
        <f>VLOOKUP($B736, '[1]HURDAT Query'!$A$1:$F$1030, 5, 0)</f>
        <v>NA</v>
      </c>
      <c r="F736" s="3" t="str">
        <f>VLOOKUP($B736, '[1]HURDAT Query'!$A$1:$F$1030, 6, 0)</f>
        <v>NA</v>
      </c>
      <c r="G736" s="3" t="str">
        <f>_xlfn.IFNA(VLOOKUP(B736, '[1]Landfall Stats'!A:G, 7, 0), "No LF")</f>
        <v>No LF</v>
      </c>
      <c r="H736" s="3" t="str">
        <f>_xlfn.IFNA(VLOOKUP(B736, '[1]Landfall Stats'!A:G, 5, 0), "No LF")</f>
        <v>No LF</v>
      </c>
      <c r="I736" s="3" t="str">
        <f>_xlfn.IFNA(VLOOKUP(B736, '[1]Landfall Stats'!A:G, 6, 0), "No LF")</f>
        <v>No LF</v>
      </c>
      <c r="J736" s="4" t="s">
        <v>1333</v>
      </c>
      <c r="K736" s="3">
        <v>0</v>
      </c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12.75" customHeight="1" x14ac:dyDescent="0.2">
      <c r="A737" s="3">
        <v>2023</v>
      </c>
      <c r="B737" s="3" t="s">
        <v>1334</v>
      </c>
      <c r="C737" s="3" t="str">
        <f>VLOOKUP($B737, '[1]HURDAT Query'!$A$1:$F$1030, 3, 0)</f>
        <v>FRANKLIN</v>
      </c>
      <c r="D737" s="3">
        <f>VLOOKUP($B737, '[1]HURDAT Query'!$A$1:$F$1030, 4, 0)</f>
        <v>4</v>
      </c>
      <c r="E737" s="3">
        <f>VLOOKUP($B737, '[1]HURDAT Query'!$A$1:$F$1030, 5, 0)</f>
        <v>130</v>
      </c>
      <c r="F737" s="3">
        <f>VLOOKUP($B737, '[1]HURDAT Query'!$A$1:$F$1030, 6, 0)</f>
        <v>926</v>
      </c>
      <c r="G737" s="3" t="str">
        <f>_xlfn.IFNA(VLOOKUP(B737, '[1]Landfall Stats'!A:G, 7, 0), "No LF")</f>
        <v>No LF</v>
      </c>
      <c r="H737" s="3" t="str">
        <f>_xlfn.IFNA(VLOOKUP(B737, '[1]Landfall Stats'!A:G, 5, 0), "No LF")</f>
        <v>No LF</v>
      </c>
      <c r="I737" s="3" t="str">
        <f>_xlfn.IFNA(VLOOKUP(B737, '[1]Landfall Stats'!A:G, 6, 0), "No LF")</f>
        <v>No LF</v>
      </c>
      <c r="J737" s="4" t="s">
        <v>1335</v>
      </c>
      <c r="K737" s="3">
        <v>0</v>
      </c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2.75" customHeight="1" x14ac:dyDescent="0.2">
      <c r="A738" s="3">
        <v>2023</v>
      </c>
      <c r="B738" s="3" t="s">
        <v>1336</v>
      </c>
      <c r="C738" s="3" t="str">
        <f>VLOOKUP($B738, '[1]HURDAT Query'!$A$1:$F$1030, 3, 0)</f>
        <v>HAROLD</v>
      </c>
      <c r="D738" s="3" t="str">
        <f>VLOOKUP($B738, '[1]HURDAT Query'!$A$1:$F$1030, 4, 0)</f>
        <v>NA</v>
      </c>
      <c r="E738" s="3" t="str">
        <f>VLOOKUP($B738, '[1]HURDAT Query'!$A$1:$F$1030, 5, 0)</f>
        <v>NA</v>
      </c>
      <c r="F738" s="3" t="str">
        <f>VLOOKUP($B738, '[1]HURDAT Query'!$A$1:$F$1030, 6, 0)</f>
        <v>NA</v>
      </c>
      <c r="G738" s="3" t="str">
        <f>_xlfn.IFNA(VLOOKUP(B738, '[1]Landfall Stats'!A:G, 7, 0), "No LF")</f>
        <v>No LF</v>
      </c>
      <c r="H738" s="3" t="str">
        <f>_xlfn.IFNA(VLOOKUP(B738, '[1]Landfall Stats'!A:G, 5, 0), "No LF")</f>
        <v>No LF</v>
      </c>
      <c r="I738" s="3" t="str">
        <f>_xlfn.IFNA(VLOOKUP(B738, '[1]Landfall Stats'!A:G, 6, 0), "No LF")</f>
        <v>No LF</v>
      </c>
      <c r="J738" s="4" t="s">
        <v>1337</v>
      </c>
      <c r="K738" s="3">
        <v>0</v>
      </c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2.75" customHeight="1" x14ac:dyDescent="0.2">
      <c r="A739" s="3">
        <v>2023</v>
      </c>
      <c r="B739" s="3" t="s">
        <v>1338</v>
      </c>
      <c r="C739" s="3" t="str">
        <f>VLOOKUP($B739, '[1]HURDAT Query'!$A$1:$F$1030, 3, 0)</f>
        <v>IDALIA</v>
      </c>
      <c r="D739" s="3">
        <f>VLOOKUP($B739, '[1]HURDAT Query'!$A$1:$F$1030, 4, 0)</f>
        <v>4</v>
      </c>
      <c r="E739" s="3">
        <f>VLOOKUP($B739, '[1]HURDAT Query'!$A$1:$F$1030, 5, 0)</f>
        <v>115</v>
      </c>
      <c r="F739" s="3">
        <f>VLOOKUP($B739, '[1]HURDAT Query'!$A$1:$F$1030, 6, 0)</f>
        <v>942</v>
      </c>
      <c r="G739" s="3">
        <f>_xlfn.IFNA(VLOOKUP(B739, '[1]Landfall Stats'!A:G, 7, 0), "No LF")</f>
        <v>3</v>
      </c>
      <c r="H739" s="3">
        <f>_xlfn.IFNA(VLOOKUP(B739, '[1]Landfall Stats'!A:G, 5, 0), "No LF")</f>
        <v>100</v>
      </c>
      <c r="I739" s="3">
        <f>_xlfn.IFNA(VLOOKUP(B739, '[1]Landfall Stats'!A:G, 6, 0), "No LF")</f>
        <v>950</v>
      </c>
      <c r="J739" s="4" t="s">
        <v>1339</v>
      </c>
      <c r="K739" s="3">
        <v>8</v>
      </c>
      <c r="L739" s="3"/>
      <c r="M739" s="3"/>
      <c r="N739" s="3">
        <v>8</v>
      </c>
      <c r="O739" s="3" t="s">
        <v>1340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2.75" customHeight="1" x14ac:dyDescent="0.2">
      <c r="A740" s="3">
        <v>2023</v>
      </c>
      <c r="B740" s="3" t="s">
        <v>1341</v>
      </c>
      <c r="C740" s="3" t="str">
        <f>VLOOKUP($B740, '[1]HURDAT Query'!$A$1:$F$1030, 3, 0)</f>
        <v>JOSE</v>
      </c>
      <c r="D740" s="3" t="str">
        <f>VLOOKUP($B740, '[1]HURDAT Query'!$A$1:$F$1030, 4, 0)</f>
        <v>NA</v>
      </c>
      <c r="E740" s="3" t="str">
        <f>VLOOKUP($B740, '[1]HURDAT Query'!$A$1:$F$1030, 5, 0)</f>
        <v>NA</v>
      </c>
      <c r="F740" s="3" t="str">
        <f>VLOOKUP($B740, '[1]HURDAT Query'!$A$1:$F$1030, 6, 0)</f>
        <v>NA</v>
      </c>
      <c r="G740" s="3" t="str">
        <f>_xlfn.IFNA(VLOOKUP(B740, '[1]Landfall Stats'!A:G, 7, 0), "No LF")</f>
        <v>No LF</v>
      </c>
      <c r="H740" s="3" t="str">
        <f>_xlfn.IFNA(VLOOKUP(B740, '[1]Landfall Stats'!A:G, 5, 0), "No LF")</f>
        <v>No LF</v>
      </c>
      <c r="I740" s="3" t="str">
        <f>_xlfn.IFNA(VLOOKUP(B740, '[1]Landfall Stats'!A:G, 6, 0), "No LF")</f>
        <v>No LF</v>
      </c>
      <c r="J740" s="4" t="s">
        <v>1342</v>
      </c>
      <c r="K740" s="3">
        <v>0</v>
      </c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2.75" customHeight="1" x14ac:dyDescent="0.2">
      <c r="A741" s="3">
        <v>2023</v>
      </c>
      <c r="B741" s="3" t="s">
        <v>1343</v>
      </c>
      <c r="C741" s="3" t="str">
        <f>VLOOKUP($B741, '[1]HURDAT Query'!$A$1:$F$1030, 3, 0)</f>
        <v>KATIA</v>
      </c>
      <c r="D741" s="3" t="str">
        <f>VLOOKUP($B741, '[1]HURDAT Query'!$A$1:$F$1030, 4, 0)</f>
        <v>NA</v>
      </c>
      <c r="E741" s="3" t="str">
        <f>VLOOKUP($B741, '[1]HURDAT Query'!$A$1:$F$1030, 5, 0)</f>
        <v>NA</v>
      </c>
      <c r="F741" s="3" t="str">
        <f>VLOOKUP($B741, '[1]HURDAT Query'!$A$1:$F$1030, 6, 0)</f>
        <v>NA</v>
      </c>
      <c r="G741" s="3" t="str">
        <f>_xlfn.IFNA(VLOOKUP(B741, '[1]Landfall Stats'!A:G, 7, 0), "No LF")</f>
        <v>No LF</v>
      </c>
      <c r="H741" s="3" t="str">
        <f>_xlfn.IFNA(VLOOKUP(B741, '[1]Landfall Stats'!A:G, 5, 0), "No LF")</f>
        <v>No LF</v>
      </c>
      <c r="I741" s="3" t="str">
        <f>_xlfn.IFNA(VLOOKUP(B741, '[1]Landfall Stats'!A:G, 6, 0), "No LF")</f>
        <v>No LF</v>
      </c>
      <c r="J741" s="4" t="s">
        <v>1344</v>
      </c>
      <c r="K741" s="3">
        <v>0</v>
      </c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2.75" customHeight="1" x14ac:dyDescent="0.2">
      <c r="A742" s="3">
        <v>2023</v>
      </c>
      <c r="B742" s="3" t="s">
        <v>1345</v>
      </c>
      <c r="C742" s="3" t="str">
        <f>VLOOKUP($B742, '[1]HURDAT Query'!$A$1:$F$1030, 3, 0)</f>
        <v>LEE</v>
      </c>
      <c r="D742" s="3">
        <f>VLOOKUP($B742, '[1]HURDAT Query'!$A$1:$F$1030, 4, 0)</f>
        <v>5</v>
      </c>
      <c r="E742" s="3">
        <f>VLOOKUP($B742, '[1]HURDAT Query'!$A$1:$F$1030, 5, 0)</f>
        <v>145</v>
      </c>
      <c r="F742" s="3">
        <f>VLOOKUP($B742, '[1]HURDAT Query'!$A$1:$F$1030, 6, 0)</f>
        <v>926</v>
      </c>
      <c r="G742" s="3" t="str">
        <f>_xlfn.IFNA(VLOOKUP(B742, '[1]Landfall Stats'!A:G, 7, 0), "No LF")</f>
        <v>No LF</v>
      </c>
      <c r="H742" s="3" t="str">
        <f>_xlfn.IFNA(VLOOKUP(B742, '[1]Landfall Stats'!A:G, 5, 0), "No LF")</f>
        <v>No LF</v>
      </c>
      <c r="I742" s="3" t="str">
        <f>_xlfn.IFNA(VLOOKUP(B742, '[1]Landfall Stats'!A:G, 6, 0), "No LF")</f>
        <v>No LF</v>
      </c>
      <c r="J742" s="4" t="s">
        <v>1346</v>
      </c>
      <c r="K742" s="3">
        <v>3</v>
      </c>
      <c r="L742" s="3"/>
      <c r="M742" s="3"/>
      <c r="N742" s="3"/>
      <c r="O742" s="3"/>
      <c r="P742" s="3">
        <v>1</v>
      </c>
      <c r="Q742" s="3" t="s">
        <v>84</v>
      </c>
      <c r="R742" s="3">
        <v>1</v>
      </c>
      <c r="S742" s="3" t="s">
        <v>51</v>
      </c>
      <c r="T742" s="3"/>
      <c r="U742" s="3"/>
      <c r="V742" s="3"/>
      <c r="W742" s="3"/>
      <c r="X742" s="3">
        <v>1</v>
      </c>
      <c r="Y742" s="3" t="s">
        <v>495</v>
      </c>
      <c r="Z742" s="3"/>
      <c r="AA742" s="3"/>
      <c r="AB742" s="3"/>
      <c r="AC742" s="3"/>
      <c r="AD742" s="3"/>
      <c r="AE742" s="3"/>
    </row>
    <row r="743" spans="1:31" ht="12.75" customHeight="1" x14ac:dyDescent="0.2">
      <c r="A743" s="3">
        <v>2023</v>
      </c>
      <c r="B743" s="3" t="s">
        <v>1347</v>
      </c>
      <c r="C743" s="3" t="str">
        <f>VLOOKUP($B743, '[1]HURDAT Query'!$A$1:$F$1030, 3, 0)</f>
        <v>MARGOT</v>
      </c>
      <c r="D743" s="3">
        <f>VLOOKUP($B743, '[1]HURDAT Query'!$A$1:$F$1030, 4, 0)</f>
        <v>1</v>
      </c>
      <c r="E743" s="3">
        <f>VLOOKUP($B743, '[1]HURDAT Query'!$A$1:$F$1030, 5, 0)</f>
        <v>80</v>
      </c>
      <c r="F743" s="3">
        <f>VLOOKUP($B743, '[1]HURDAT Query'!$A$1:$F$1030, 6, 0)</f>
        <v>969</v>
      </c>
      <c r="G743" s="3" t="str">
        <f>_xlfn.IFNA(VLOOKUP(B743, '[1]Landfall Stats'!A:G, 7, 0), "No LF")</f>
        <v>No LF</v>
      </c>
      <c r="H743" s="3" t="str">
        <f>_xlfn.IFNA(VLOOKUP(B743, '[1]Landfall Stats'!A:G, 5, 0), "No LF")</f>
        <v>No LF</v>
      </c>
      <c r="I743" s="3" t="str">
        <f>_xlfn.IFNA(VLOOKUP(B743, '[1]Landfall Stats'!A:G, 6, 0), "No LF")</f>
        <v>No LF</v>
      </c>
      <c r="J743" s="4" t="s">
        <v>1348</v>
      </c>
      <c r="K743" s="3">
        <v>0</v>
      </c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2.75" customHeight="1" x14ac:dyDescent="0.2">
      <c r="A744" s="3">
        <v>2023</v>
      </c>
      <c r="B744" s="3" t="s">
        <v>1349</v>
      </c>
      <c r="C744" s="3" t="str">
        <f>VLOOKUP($B744, '[1]HURDAT Query'!$A$1:$F$1030, 3, 0)</f>
        <v>NIGEL</v>
      </c>
      <c r="D744" s="3">
        <f>VLOOKUP($B744, '[1]HURDAT Query'!$A$1:$F$1030, 4, 0)</f>
        <v>2</v>
      </c>
      <c r="E744" s="3">
        <f>VLOOKUP($B744, '[1]HURDAT Query'!$A$1:$F$1030, 5, 0)</f>
        <v>85</v>
      </c>
      <c r="F744" s="3">
        <f>VLOOKUP($B744, '[1]HURDAT Query'!$A$1:$F$1030, 6, 0)</f>
        <v>971</v>
      </c>
      <c r="G744" s="3" t="str">
        <f>_xlfn.IFNA(VLOOKUP(B744, '[1]Landfall Stats'!A:G, 7, 0), "No LF")</f>
        <v>No LF</v>
      </c>
      <c r="H744" s="3" t="str">
        <f>_xlfn.IFNA(VLOOKUP(B744, '[1]Landfall Stats'!A:G, 5, 0), "No LF")</f>
        <v>No LF</v>
      </c>
      <c r="I744" s="3" t="str">
        <f>_xlfn.IFNA(VLOOKUP(B744, '[1]Landfall Stats'!A:G, 6, 0), "No LF")</f>
        <v>No LF</v>
      </c>
      <c r="J744" s="4" t="s">
        <v>1350</v>
      </c>
      <c r="K744" s="3">
        <v>0</v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2.75" customHeight="1" x14ac:dyDescent="0.2">
      <c r="A745" s="3">
        <v>2023</v>
      </c>
      <c r="B745" s="3" t="s">
        <v>1351</v>
      </c>
      <c r="C745" s="3" t="str">
        <f>VLOOKUP($B745, '[1]HURDAT Query'!$A$1:$F$1030, 3, 0)</f>
        <v>OPHELIA</v>
      </c>
      <c r="D745" s="3" t="str">
        <f>VLOOKUP($B745, '[1]HURDAT Query'!$A$1:$F$1030, 4, 0)</f>
        <v>NA</v>
      </c>
      <c r="E745" s="3" t="str">
        <f>VLOOKUP($B745, '[1]HURDAT Query'!$A$1:$F$1030, 5, 0)</f>
        <v>NA</v>
      </c>
      <c r="F745" s="3" t="str">
        <f>VLOOKUP($B745, '[1]HURDAT Query'!$A$1:$F$1030, 6, 0)</f>
        <v>NA</v>
      </c>
      <c r="G745" s="3" t="str">
        <f>_xlfn.IFNA(VLOOKUP(B745, '[1]Landfall Stats'!A:G, 7, 0), "No LF")</f>
        <v>NA</v>
      </c>
      <c r="H745" s="3">
        <f>_xlfn.IFNA(VLOOKUP(B745, '[1]Landfall Stats'!A:G, 5, 0), "No LF")</f>
        <v>60</v>
      </c>
      <c r="I745" s="3">
        <f>_xlfn.IFNA(VLOOKUP(B745, '[1]Landfall Stats'!A:G, 6, 0), "No LF")</f>
        <v>981</v>
      </c>
      <c r="J745" s="4" t="s">
        <v>1352</v>
      </c>
      <c r="K745" s="3">
        <v>0</v>
      </c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2.75" customHeight="1" x14ac:dyDescent="0.2">
      <c r="A746" s="3">
        <v>2023</v>
      </c>
      <c r="B746" s="3" t="s">
        <v>1353</v>
      </c>
      <c r="C746" s="3" t="str">
        <f>VLOOKUP($B746, '[1]HURDAT Query'!$A$1:$F$1030, 3, 0)</f>
        <v>PHILIPPE</v>
      </c>
      <c r="D746" s="3" t="str">
        <f>VLOOKUP($B746, '[1]HURDAT Query'!$A$1:$F$1030, 4, 0)</f>
        <v>NA</v>
      </c>
      <c r="E746" s="3" t="str">
        <f>VLOOKUP($B746, '[1]HURDAT Query'!$A$1:$F$1030, 5, 0)</f>
        <v>NA</v>
      </c>
      <c r="F746" s="3" t="str">
        <f>VLOOKUP($B746, '[1]HURDAT Query'!$A$1:$F$1030, 6, 0)</f>
        <v>NA</v>
      </c>
      <c r="G746" s="3" t="str">
        <f>_xlfn.IFNA(VLOOKUP(B746, '[1]Landfall Stats'!A:G, 7, 0), "No LF")</f>
        <v>No LF</v>
      </c>
      <c r="H746" s="3" t="str">
        <f>_xlfn.IFNA(VLOOKUP(B746, '[1]Landfall Stats'!A:G, 5, 0), "No LF")</f>
        <v>No LF</v>
      </c>
      <c r="I746" s="3" t="str">
        <f>_xlfn.IFNA(VLOOKUP(B746, '[1]Landfall Stats'!A:G, 6, 0), "No LF")</f>
        <v>No LF</v>
      </c>
      <c r="J746" s="4" t="s">
        <v>1354</v>
      </c>
      <c r="K746" s="3">
        <v>0</v>
      </c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2.75" customHeight="1" x14ac:dyDescent="0.2">
      <c r="A747" s="3">
        <v>2023</v>
      </c>
      <c r="B747" s="3" t="s">
        <v>1355</v>
      </c>
      <c r="C747" s="3" t="str">
        <f>VLOOKUP($B747, '[1]HURDAT Query'!$A$1:$F$1030, 3, 0)</f>
        <v>RINA</v>
      </c>
      <c r="D747" s="3" t="str">
        <f>VLOOKUP($B747, '[1]HURDAT Query'!$A$1:$F$1030, 4, 0)</f>
        <v>NA</v>
      </c>
      <c r="E747" s="3" t="str">
        <f>VLOOKUP($B747, '[1]HURDAT Query'!$A$1:$F$1030, 5, 0)</f>
        <v>NA</v>
      </c>
      <c r="F747" s="3" t="str">
        <f>VLOOKUP($B747, '[1]HURDAT Query'!$A$1:$F$1030, 6, 0)</f>
        <v>NA</v>
      </c>
      <c r="G747" s="3" t="str">
        <f>_xlfn.IFNA(VLOOKUP(B747, '[1]Landfall Stats'!A:G, 7, 0), "No LF")</f>
        <v>No LF</v>
      </c>
      <c r="H747" s="3" t="str">
        <f>_xlfn.IFNA(VLOOKUP(B747, '[1]Landfall Stats'!A:G, 5, 0), "No LF")</f>
        <v>No LF</v>
      </c>
      <c r="I747" s="3" t="str">
        <f>_xlfn.IFNA(VLOOKUP(B747, '[1]Landfall Stats'!A:G, 6, 0), "No LF")</f>
        <v>No LF</v>
      </c>
      <c r="J747" s="4" t="s">
        <v>1356</v>
      </c>
      <c r="K747" s="3">
        <v>0</v>
      </c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12.75" customHeight="1" x14ac:dyDescent="0.2">
      <c r="A748" s="3">
        <v>2023</v>
      </c>
      <c r="B748" s="3" t="s">
        <v>1357</v>
      </c>
      <c r="C748" s="3" t="str">
        <f>VLOOKUP($B748, '[1]HURDAT Query'!$A$1:$F$1030, 3, 0)</f>
        <v>SEAN</v>
      </c>
      <c r="D748" s="3" t="str">
        <f>VLOOKUP($B748, '[1]HURDAT Query'!$A$1:$F$1030, 4, 0)</f>
        <v>NA</v>
      </c>
      <c r="E748" s="3" t="str">
        <f>VLOOKUP($B748, '[1]HURDAT Query'!$A$1:$F$1030, 5, 0)</f>
        <v>NA</v>
      </c>
      <c r="F748" s="3" t="str">
        <f>VLOOKUP($B748, '[1]HURDAT Query'!$A$1:$F$1030, 6, 0)</f>
        <v>NA</v>
      </c>
      <c r="G748" s="3" t="str">
        <f>_xlfn.IFNA(VLOOKUP(B748, '[1]Landfall Stats'!A:G, 7, 0), "No LF")</f>
        <v>No LF</v>
      </c>
      <c r="H748" s="3" t="str">
        <f>_xlfn.IFNA(VLOOKUP(B748, '[1]Landfall Stats'!A:G, 5, 0), "No LF")</f>
        <v>No LF</v>
      </c>
      <c r="I748" s="3" t="str">
        <f>_xlfn.IFNA(VLOOKUP(B748, '[1]Landfall Stats'!A:G, 6, 0), "No LF")</f>
        <v>No LF</v>
      </c>
      <c r="J748" s="4" t="s">
        <v>1358</v>
      </c>
      <c r="K748" s="3">
        <v>0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2.75" customHeight="1" x14ac:dyDescent="0.2">
      <c r="A749" s="3">
        <v>2023</v>
      </c>
      <c r="B749" s="3" t="s">
        <v>1359</v>
      </c>
      <c r="C749" s="3" t="str">
        <f>VLOOKUP($B749, '[1]HURDAT Query'!$A$1:$F$1030, 3, 0)</f>
        <v>TAMMY</v>
      </c>
      <c r="D749" s="3">
        <f>VLOOKUP($B749, '[1]HURDAT Query'!$A$1:$F$1030, 4, 0)</f>
        <v>2</v>
      </c>
      <c r="E749" s="3">
        <f>VLOOKUP($B749, '[1]HURDAT Query'!$A$1:$F$1030, 5, 0)</f>
        <v>95</v>
      </c>
      <c r="F749" s="3">
        <f>VLOOKUP($B749, '[1]HURDAT Query'!$A$1:$F$1030, 6, 0)</f>
        <v>965</v>
      </c>
      <c r="G749" s="3" t="str">
        <f>_xlfn.IFNA(VLOOKUP(B749, '[1]Landfall Stats'!A:G, 7, 0), "No LF")</f>
        <v>No LF</v>
      </c>
      <c r="H749" s="3" t="str">
        <f>_xlfn.IFNA(VLOOKUP(B749, '[1]Landfall Stats'!A:G, 5, 0), "No LF")</f>
        <v>No LF</v>
      </c>
      <c r="I749" s="3" t="str">
        <f>_xlfn.IFNA(VLOOKUP(B749, '[1]Landfall Stats'!A:G, 6, 0), "No LF")</f>
        <v>No LF</v>
      </c>
      <c r="J749" s="4" t="s">
        <v>1360</v>
      </c>
      <c r="K749" s="3">
        <v>0</v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2.75" customHeight="1" x14ac:dyDescent="0.2">
      <c r="A750" s="3">
        <v>2023</v>
      </c>
      <c r="B750" s="3" t="s">
        <v>1361</v>
      </c>
      <c r="C750" s="3" t="str">
        <f>VLOOKUP($B750, '[1]HURDAT Query'!$A$1:$F$1030, 3, 0)</f>
        <v>TWENTY-ONE</v>
      </c>
      <c r="D750" s="3" t="str">
        <f>VLOOKUP($B750, '[1]HURDAT Query'!$A$1:$F$1030, 4, 0)</f>
        <v>NA</v>
      </c>
      <c r="E750" s="3" t="str">
        <f>VLOOKUP($B750, '[1]HURDAT Query'!$A$1:$F$1030, 5, 0)</f>
        <v>NA</v>
      </c>
      <c r="F750" s="3" t="str">
        <f>VLOOKUP($B750, '[1]HURDAT Query'!$A$1:$F$1030, 6, 0)</f>
        <v>NA</v>
      </c>
      <c r="G750" s="3" t="str">
        <f>_xlfn.IFNA(VLOOKUP(B750, '[1]Landfall Stats'!A:G, 7, 0), "No LF")</f>
        <v>No LF</v>
      </c>
      <c r="H750" s="3" t="str">
        <f>_xlfn.IFNA(VLOOKUP(B750, '[1]Landfall Stats'!A:G, 5, 0), "No LF")</f>
        <v>No LF</v>
      </c>
      <c r="I750" s="3" t="str">
        <f>_xlfn.IFNA(VLOOKUP(B750, '[1]Landfall Stats'!A:G, 6, 0), "No LF")</f>
        <v>No LF</v>
      </c>
      <c r="J750" s="4" t="s">
        <v>1362</v>
      </c>
      <c r="K750" s="3">
        <v>0</v>
      </c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2.75" customHeight="1" x14ac:dyDescent="0.2">
      <c r="A751" s="3">
        <v>2024</v>
      </c>
      <c r="B751" s="3" t="s">
        <v>1363</v>
      </c>
      <c r="C751" s="3" t="str">
        <f>VLOOKUP($B751, '[1]HURDAT Query'!$A$1:$F$1030, 3, 0)</f>
        <v>ALBERTO</v>
      </c>
      <c r="D751" s="3" t="str">
        <f>VLOOKUP($B751, '[1]HURDAT Query'!$A$1:$F$1030, 4, 0)</f>
        <v>NA</v>
      </c>
      <c r="E751" s="3" t="str">
        <f>VLOOKUP($B751, '[1]HURDAT Query'!$A$1:$F$1030, 5, 0)</f>
        <v>NA</v>
      </c>
      <c r="F751" s="3" t="str">
        <f>VLOOKUP($B751, '[1]HURDAT Query'!$A$1:$F$1030, 6, 0)</f>
        <v>NA</v>
      </c>
      <c r="G751" s="3" t="str">
        <f>_xlfn.IFNA(VLOOKUP(B751, '[1]Landfall Stats'!A:G, 7, 0), "No LF")</f>
        <v>No LF</v>
      </c>
      <c r="H751" s="3" t="str">
        <f>_xlfn.IFNA(VLOOKUP(B751, '[1]Landfall Stats'!A:G, 5, 0), "No LF")</f>
        <v>No LF</v>
      </c>
      <c r="I751" s="3" t="str">
        <f>_xlfn.IFNA(VLOOKUP(B751, '[1]Landfall Stats'!A:G, 6, 0), "No LF")</f>
        <v>No LF</v>
      </c>
      <c r="J751" s="4" t="s">
        <v>1364</v>
      </c>
      <c r="K751" s="3">
        <v>1</v>
      </c>
      <c r="L751" s="3"/>
      <c r="M751" s="3"/>
      <c r="N751" s="3"/>
      <c r="O751" s="3"/>
      <c r="P751" s="3"/>
      <c r="Q751" s="3"/>
      <c r="R751" s="3">
        <v>1</v>
      </c>
      <c r="S751" s="3" t="s">
        <v>38</v>
      </c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2.75" customHeight="1" x14ac:dyDescent="0.2">
      <c r="A752" s="3">
        <v>2024</v>
      </c>
      <c r="B752" s="3" t="s">
        <v>1365</v>
      </c>
      <c r="C752" s="3" t="str">
        <f>VLOOKUP($B752, '[1]HURDAT Query'!$A$1:$F$1030, 3, 0)</f>
        <v>BERYL</v>
      </c>
      <c r="D752" s="3">
        <f>VLOOKUP($B752, '[1]HURDAT Query'!$A$1:$F$1030, 4, 0)</f>
        <v>5</v>
      </c>
      <c r="E752" s="3">
        <f>VLOOKUP($B752, '[1]HURDAT Query'!$A$1:$F$1030, 5, 0)</f>
        <v>145</v>
      </c>
      <c r="F752" s="3">
        <f>VLOOKUP($B752, '[1]HURDAT Query'!$A$1:$F$1030, 6, 0)</f>
        <v>932</v>
      </c>
      <c r="G752" s="3" t="str">
        <f>_xlfn.IFNA(VLOOKUP(B752, '[1]Landfall Stats'!A:G, 7, 0), "No LF")</f>
        <v>No LF</v>
      </c>
      <c r="H752" s="3" t="str">
        <f>_xlfn.IFNA(VLOOKUP(B752, '[1]Landfall Stats'!A:G, 5, 0), "No LF")</f>
        <v>No LF</v>
      </c>
      <c r="I752" s="3" t="str">
        <f>_xlfn.IFNA(VLOOKUP(B752, '[1]Landfall Stats'!A:G, 6, 0), "No LF")</f>
        <v>No LF</v>
      </c>
      <c r="J752" s="4" t="s">
        <v>1366</v>
      </c>
      <c r="K752" s="3">
        <v>14</v>
      </c>
      <c r="L752" s="3"/>
      <c r="M752" s="3"/>
      <c r="N752" s="3"/>
      <c r="O752" s="3"/>
      <c r="P752" s="3">
        <v>1</v>
      </c>
      <c r="Q752" s="3" t="s">
        <v>38</v>
      </c>
      <c r="R752" s="3"/>
      <c r="S752" s="3"/>
      <c r="T752" s="3">
        <v>6</v>
      </c>
      <c r="U752" s="3" t="s">
        <v>1367</v>
      </c>
      <c r="V752" s="3"/>
      <c r="W752" s="3"/>
      <c r="X752" s="3">
        <v>6</v>
      </c>
      <c r="Y752" s="3" t="s">
        <v>1368</v>
      </c>
      <c r="Z752" s="3"/>
      <c r="AA752" s="3"/>
      <c r="AB752" s="3"/>
      <c r="AC752" s="3"/>
      <c r="AD752" s="3">
        <v>1</v>
      </c>
      <c r="AE752" s="3" t="s">
        <v>42</v>
      </c>
    </row>
    <row r="753" spans="1:31" ht="12.75" customHeight="1" x14ac:dyDescent="0.2">
      <c r="A753" s="3">
        <v>2024</v>
      </c>
      <c r="B753" s="3" t="s">
        <v>1369</v>
      </c>
      <c r="C753" s="3" t="str">
        <f>VLOOKUP($B753, '[1]HURDAT Query'!$A$1:$F$1030, 3, 0)</f>
        <v>CHRIS</v>
      </c>
      <c r="D753" s="3" t="str">
        <f>VLOOKUP($B753, '[1]HURDAT Query'!$A$1:$F$1030, 4, 0)</f>
        <v>NA</v>
      </c>
      <c r="E753" s="3" t="str">
        <f>VLOOKUP($B753, '[1]HURDAT Query'!$A$1:$F$1030, 5, 0)</f>
        <v>NA</v>
      </c>
      <c r="F753" s="3" t="str">
        <f>VLOOKUP($B753, '[1]HURDAT Query'!$A$1:$F$1030, 6, 0)</f>
        <v>NA</v>
      </c>
      <c r="G753" s="3" t="str">
        <f>_xlfn.IFNA(VLOOKUP(B753, '[1]Landfall Stats'!A:G, 7, 0), "No LF")</f>
        <v>No LF</v>
      </c>
      <c r="H753" s="3" t="str">
        <f>_xlfn.IFNA(VLOOKUP(B753, '[1]Landfall Stats'!A:G, 5, 0), "No LF")</f>
        <v>No LF</v>
      </c>
      <c r="I753" s="3" t="str">
        <f>_xlfn.IFNA(VLOOKUP(B753, '[1]Landfall Stats'!A:G, 6, 0), "No LF")</f>
        <v>No LF</v>
      </c>
      <c r="J753" s="4" t="s">
        <v>1370</v>
      </c>
      <c r="K753" s="3">
        <v>0</v>
      </c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2.75" customHeight="1" x14ac:dyDescent="0.2">
      <c r="A754" s="3">
        <v>2024</v>
      </c>
      <c r="B754" s="3" t="s">
        <v>1371</v>
      </c>
      <c r="C754" s="3" t="str">
        <f>VLOOKUP($B754, '[1]HURDAT Query'!$A$1:$F$1030, 3, 0)</f>
        <v>DEBBY</v>
      </c>
      <c r="D754" s="3">
        <f>VLOOKUP($B754, '[1]HURDAT Query'!$A$1:$F$1030, 4, 0)</f>
        <v>1</v>
      </c>
      <c r="E754" s="3">
        <f>VLOOKUP($B754, '[1]HURDAT Query'!$A$1:$F$1030, 5, 0)</f>
        <v>70</v>
      </c>
      <c r="F754" s="3">
        <f>VLOOKUP($B754, '[1]HURDAT Query'!$A$1:$F$1030, 6, 0)</f>
        <v>979</v>
      </c>
      <c r="G754" s="3" t="str">
        <f>_xlfn.IFNA(VLOOKUP(B754, '[1]Landfall Stats'!A:G, 7, 0), "No LF")</f>
        <v>No LF</v>
      </c>
      <c r="H754" s="3" t="str">
        <f>_xlfn.IFNA(VLOOKUP(B754, '[1]Landfall Stats'!A:G, 5, 0), "No LF")</f>
        <v>No LF</v>
      </c>
      <c r="I754" s="3" t="str">
        <f>_xlfn.IFNA(VLOOKUP(B754, '[1]Landfall Stats'!A:G, 6, 0), "No LF")</f>
        <v>No LF</v>
      </c>
      <c r="J754" s="4" t="s">
        <v>1372</v>
      </c>
      <c r="K754" s="3">
        <v>11</v>
      </c>
      <c r="L754" s="3"/>
      <c r="M754" s="3"/>
      <c r="N754" s="3"/>
      <c r="O754" s="3"/>
      <c r="P754" s="3">
        <v>1</v>
      </c>
      <c r="Q754" s="3" t="s">
        <v>51</v>
      </c>
      <c r="R754" s="3"/>
      <c r="S754" s="3"/>
      <c r="T754" s="3">
        <v>4</v>
      </c>
      <c r="U754" s="3" t="s">
        <v>1373</v>
      </c>
      <c r="V754" s="3">
        <v>5</v>
      </c>
      <c r="W754" s="3" t="s">
        <v>1374</v>
      </c>
      <c r="X754" s="3"/>
      <c r="Z754" s="3">
        <v>1</v>
      </c>
      <c r="AA754" s="3" t="s">
        <v>290</v>
      </c>
      <c r="AB754" s="3"/>
      <c r="AC754" s="3"/>
      <c r="AD754" s="3"/>
      <c r="AE754" s="3"/>
    </row>
    <row r="755" spans="1:31" ht="12.75" customHeight="1" x14ac:dyDescent="0.2">
      <c r="A755" s="3">
        <v>2024</v>
      </c>
      <c r="B755" s="3" t="s">
        <v>1375</v>
      </c>
      <c r="C755" s="3" t="str">
        <f>VLOOKUP($B755, '[1]HURDAT Query'!$A$1:$F$1030, 3, 0)</f>
        <v>ERNESTO</v>
      </c>
      <c r="D755" s="3">
        <f>VLOOKUP($B755, '[1]HURDAT Query'!$A$1:$F$1030, 4, 0)</f>
        <v>2</v>
      </c>
      <c r="E755" s="3">
        <f>VLOOKUP($B755, '[1]HURDAT Query'!$A$1:$F$1030, 5, 0)</f>
        <v>85</v>
      </c>
      <c r="F755" s="3">
        <f>VLOOKUP($B755, '[1]HURDAT Query'!$A$1:$F$1030, 6, 0)</f>
        <v>967</v>
      </c>
      <c r="G755" s="3" t="str">
        <f>_xlfn.IFNA(VLOOKUP(B755, '[1]Landfall Stats'!A:G, 7, 0), "No LF")</f>
        <v>No LF</v>
      </c>
      <c r="H755" s="3" t="str">
        <f>_xlfn.IFNA(VLOOKUP(B755, '[1]Landfall Stats'!A:G, 5, 0), "No LF")</f>
        <v>No LF</v>
      </c>
      <c r="I755" s="3" t="str">
        <f>_xlfn.IFNA(VLOOKUP(B755, '[1]Landfall Stats'!A:G, 6, 0), "No LF")</f>
        <v>No LF</v>
      </c>
      <c r="J755" s="4" t="s">
        <v>1376</v>
      </c>
      <c r="K755" s="3">
        <v>3</v>
      </c>
      <c r="L755" s="3"/>
      <c r="M755" s="3"/>
      <c r="N755" s="3"/>
      <c r="O755" s="3"/>
      <c r="P755" s="3"/>
      <c r="Q755" s="3"/>
      <c r="R755" s="3">
        <v>3</v>
      </c>
      <c r="S755" s="3" t="s">
        <v>1377</v>
      </c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12.75" customHeight="1" x14ac:dyDescent="0.2">
      <c r="A756" s="3">
        <v>2024</v>
      </c>
      <c r="B756" s="3" t="s">
        <v>1378</v>
      </c>
      <c r="C756" s="3" t="str">
        <f>VLOOKUP($B756, '[1]HURDAT Query'!$A$1:$F$1030, 3, 0)</f>
        <v>FRANCINE</v>
      </c>
      <c r="D756" s="3">
        <f>VLOOKUP($B756, '[1]HURDAT Query'!$A$1:$F$1030, 4, 0)</f>
        <v>2</v>
      </c>
      <c r="E756" s="3">
        <f>VLOOKUP($B756, '[1]HURDAT Query'!$A$1:$F$1030, 5, 0)</f>
        <v>90</v>
      </c>
      <c r="F756" s="3">
        <f>VLOOKUP($B756, '[1]HURDAT Query'!$A$1:$F$1030, 6, 0)</f>
        <v>972</v>
      </c>
      <c r="G756" s="3" t="str">
        <f>_xlfn.IFNA(VLOOKUP(B756, '[1]Landfall Stats'!A:G, 7, 0), "No LF")</f>
        <v>No LF</v>
      </c>
      <c r="H756" s="3" t="str">
        <f>_xlfn.IFNA(VLOOKUP(B756, '[1]Landfall Stats'!A:G, 5, 0), "No LF")</f>
        <v>No LF</v>
      </c>
      <c r="I756" s="3" t="str">
        <f>_xlfn.IFNA(VLOOKUP(B756, '[1]Landfall Stats'!A:G, 6, 0), "No LF")</f>
        <v>No LF</v>
      </c>
      <c r="J756" s="4" t="s">
        <v>1379</v>
      </c>
      <c r="K756" s="3">
        <v>0</v>
      </c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2.75" customHeight="1" x14ac:dyDescent="0.2">
      <c r="A757" s="3">
        <v>2024</v>
      </c>
      <c r="B757" s="3" t="s">
        <v>1380</v>
      </c>
      <c r="C757" s="3" t="str">
        <f>VLOOKUP($B757, '[1]HURDAT Query'!$A$1:$F$1030, 3, 0)</f>
        <v>GORDON</v>
      </c>
      <c r="D757" s="3" t="str">
        <f>VLOOKUP($B757, '[1]HURDAT Query'!$A$1:$F$1030, 4, 0)</f>
        <v>NA</v>
      </c>
      <c r="E757" s="3" t="str">
        <f>VLOOKUP($B757, '[1]HURDAT Query'!$A$1:$F$1030, 5, 0)</f>
        <v>NA</v>
      </c>
      <c r="F757" s="3" t="str">
        <f>VLOOKUP($B757, '[1]HURDAT Query'!$A$1:$F$1030, 6, 0)</f>
        <v>NA</v>
      </c>
      <c r="G757" s="3" t="str">
        <f>_xlfn.IFNA(VLOOKUP(B757, '[1]Landfall Stats'!A:G, 7, 0), "No LF")</f>
        <v>No LF</v>
      </c>
      <c r="H757" s="3" t="str">
        <f>_xlfn.IFNA(VLOOKUP(B757, '[1]Landfall Stats'!A:G, 5, 0), "No LF")</f>
        <v>No LF</v>
      </c>
      <c r="I757" s="3" t="str">
        <f>_xlfn.IFNA(VLOOKUP(B757, '[1]Landfall Stats'!A:G, 6, 0), "No LF")</f>
        <v>No LF</v>
      </c>
      <c r="J757" s="4" t="s">
        <v>1381</v>
      </c>
      <c r="K757" s="3">
        <v>0</v>
      </c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2.75" customHeight="1" x14ac:dyDescent="0.2">
      <c r="A758" s="3">
        <v>2024</v>
      </c>
      <c r="B758" s="3" t="s">
        <v>1382</v>
      </c>
      <c r="C758" s="3" t="str">
        <f>VLOOKUP($B758, '[1]HURDAT Query'!$A$1:$F$1030, 3, 0)</f>
        <v>HELENE</v>
      </c>
      <c r="D758" s="3">
        <f>VLOOKUP($B758, '[1]HURDAT Query'!$A$1:$F$1030, 4, 0)</f>
        <v>4</v>
      </c>
      <c r="E758" s="3">
        <f>VLOOKUP($B758, '[1]HURDAT Query'!$A$1:$F$1030, 5, 0)</f>
        <v>120</v>
      </c>
      <c r="F758" s="3">
        <f>VLOOKUP($B758, '[1]HURDAT Query'!$A$1:$F$1030, 6, 0)</f>
        <v>939</v>
      </c>
      <c r="G758" s="3" t="str">
        <f>_xlfn.IFNA(VLOOKUP(B758, '[1]Landfall Stats'!A:G, 7, 0), "No LF")</f>
        <v>No LF</v>
      </c>
      <c r="H758" s="3" t="str">
        <f>_xlfn.IFNA(VLOOKUP(B758, '[1]Landfall Stats'!A:G, 5, 0), "No LF")</f>
        <v>No LF</v>
      </c>
      <c r="I758" s="3" t="str">
        <f>_xlfn.IFNA(VLOOKUP(B758, '[1]Landfall Stats'!A:G, 6, 0), "No LF")</f>
        <v>No LF</v>
      </c>
      <c r="J758" s="4" t="s">
        <v>1383</v>
      </c>
      <c r="K758" s="3">
        <v>176</v>
      </c>
      <c r="L758" s="3">
        <v>14</v>
      </c>
      <c r="M758" s="3" t="s">
        <v>51</v>
      </c>
      <c r="N758" s="3"/>
      <c r="O758" s="3"/>
      <c r="P758" s="3"/>
      <c r="Q758" s="3"/>
      <c r="R758" s="3"/>
      <c r="S758" s="3"/>
      <c r="T758" s="3">
        <v>95</v>
      </c>
      <c r="U758" s="3" t="s">
        <v>1384</v>
      </c>
      <c r="V758" s="3">
        <v>4</v>
      </c>
      <c r="W758" s="3"/>
      <c r="X758" s="3">
        <v>61</v>
      </c>
      <c r="Y758" s="3" t="s">
        <v>1385</v>
      </c>
      <c r="Z758" s="3">
        <v>2</v>
      </c>
      <c r="AA758" s="3" t="s">
        <v>593</v>
      </c>
      <c r="AB758" s="3"/>
      <c r="AC758" s="3"/>
      <c r="AD758" s="3"/>
      <c r="AE758" s="3"/>
    </row>
    <row r="759" spans="1:31" ht="12.75" customHeight="1" x14ac:dyDescent="0.2">
      <c r="A759" s="3">
        <v>2024</v>
      </c>
      <c r="B759" s="3" t="s">
        <v>1386</v>
      </c>
      <c r="C759" s="3" t="str">
        <f>VLOOKUP($B759, '[1]HURDAT Query'!$A$1:$F$1030, 3, 0)</f>
        <v>ISAAC</v>
      </c>
      <c r="D759" s="3">
        <f>VLOOKUP($B759, '[1]HURDAT Query'!$A$1:$F$1030, 4, 0)</f>
        <v>2</v>
      </c>
      <c r="E759" s="3">
        <f>VLOOKUP($B759, '[1]HURDAT Query'!$A$1:$F$1030, 5, 0)</f>
        <v>90</v>
      </c>
      <c r="F759" s="3">
        <f>VLOOKUP($B759, '[1]HURDAT Query'!$A$1:$F$1030, 6, 0)</f>
        <v>963</v>
      </c>
      <c r="G759" s="3" t="str">
        <f>_xlfn.IFNA(VLOOKUP(B759, '[1]Landfall Stats'!A:G, 7, 0), "No LF")</f>
        <v>No LF</v>
      </c>
      <c r="H759" s="3" t="str">
        <f>_xlfn.IFNA(VLOOKUP(B759, '[1]Landfall Stats'!A:G, 5, 0), "No LF")</f>
        <v>No LF</v>
      </c>
      <c r="I759" s="3" t="str">
        <f>_xlfn.IFNA(VLOOKUP(B759, '[1]Landfall Stats'!A:G, 6, 0), "No LF")</f>
        <v>No LF</v>
      </c>
      <c r="J759" s="4" t="s">
        <v>1387</v>
      </c>
      <c r="K759" s="3">
        <v>0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12.75" customHeight="1" x14ac:dyDescent="0.2">
      <c r="A760" s="3">
        <v>2024</v>
      </c>
      <c r="B760" s="3" t="s">
        <v>1388</v>
      </c>
      <c r="C760" s="3" t="str">
        <f>VLOOKUP($B760, '[1]HURDAT Query'!$A$1:$F$1030, 3, 0)</f>
        <v>JOYCE</v>
      </c>
      <c r="D760" s="3" t="str">
        <f>VLOOKUP($B760, '[1]HURDAT Query'!$A$1:$F$1030, 4, 0)</f>
        <v>NA</v>
      </c>
      <c r="E760" s="3" t="str">
        <f>VLOOKUP($B760, '[1]HURDAT Query'!$A$1:$F$1030, 5, 0)</f>
        <v>NA</v>
      </c>
      <c r="F760" s="3" t="str">
        <f>VLOOKUP($B760, '[1]HURDAT Query'!$A$1:$F$1030, 6, 0)</f>
        <v>NA</v>
      </c>
      <c r="G760" s="3" t="str">
        <f>_xlfn.IFNA(VLOOKUP(B760, '[1]Landfall Stats'!A:G, 7, 0), "No LF")</f>
        <v>No LF</v>
      </c>
      <c r="H760" s="3" t="str">
        <f>_xlfn.IFNA(VLOOKUP(B760, '[1]Landfall Stats'!A:G, 5, 0), "No LF")</f>
        <v>No LF</v>
      </c>
      <c r="I760" s="3" t="str">
        <f>_xlfn.IFNA(VLOOKUP(B760, '[1]Landfall Stats'!A:G, 6, 0), "No LF")</f>
        <v>No LF</v>
      </c>
      <c r="J760" s="4" t="s">
        <v>1389</v>
      </c>
      <c r="K760" s="3">
        <v>0</v>
      </c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12.75" customHeight="1" x14ac:dyDescent="0.2">
      <c r="A761" s="3">
        <v>2024</v>
      </c>
      <c r="B761" s="3" t="s">
        <v>1390</v>
      </c>
      <c r="C761" s="3" t="str">
        <f>VLOOKUP($B761, '[1]HURDAT Query'!$A$1:$F$1030, 3, 0)</f>
        <v>KIRK</v>
      </c>
      <c r="D761" s="3">
        <f>VLOOKUP($B761, '[1]HURDAT Query'!$A$1:$F$1030, 4, 0)</f>
        <v>4</v>
      </c>
      <c r="E761" s="3">
        <f>VLOOKUP($B761, '[1]HURDAT Query'!$A$1:$F$1030, 5, 0)</f>
        <v>130</v>
      </c>
      <c r="F761" s="3">
        <f>VLOOKUP($B761, '[1]HURDAT Query'!$A$1:$F$1030, 6, 0)</f>
        <v>928</v>
      </c>
      <c r="G761" s="3" t="str">
        <f>_xlfn.IFNA(VLOOKUP(B761, '[1]Landfall Stats'!A:G, 7, 0), "No LF")</f>
        <v>No LF</v>
      </c>
      <c r="H761" s="3" t="str">
        <f>_xlfn.IFNA(VLOOKUP(B761, '[1]Landfall Stats'!A:G, 5, 0), "No LF")</f>
        <v>No LF</v>
      </c>
      <c r="I761" s="3" t="str">
        <f>_xlfn.IFNA(VLOOKUP(B761, '[1]Landfall Stats'!A:G, 6, 0), "No LF")</f>
        <v>No LF</v>
      </c>
      <c r="J761" s="4" t="s">
        <v>1391</v>
      </c>
      <c r="K761" s="3">
        <v>0</v>
      </c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2.75" customHeight="1" x14ac:dyDescent="0.2">
      <c r="A762" s="3">
        <v>2024</v>
      </c>
      <c r="B762" s="3" t="s">
        <v>1392</v>
      </c>
      <c r="C762" s="3" t="str">
        <f>VLOOKUP($B762, '[1]HURDAT Query'!$A$1:$F$1030, 3, 0)</f>
        <v>LESLIE</v>
      </c>
      <c r="D762" s="3">
        <f>VLOOKUP($B762, '[1]HURDAT Query'!$A$1:$F$1030, 4, 0)</f>
        <v>2</v>
      </c>
      <c r="E762" s="3">
        <f>VLOOKUP($B762, '[1]HURDAT Query'!$A$1:$F$1030, 5, 0)</f>
        <v>90</v>
      </c>
      <c r="F762" s="3">
        <f>VLOOKUP($B762, '[1]HURDAT Query'!$A$1:$F$1030, 6, 0)</f>
        <v>970</v>
      </c>
      <c r="G762" s="3" t="str">
        <f>_xlfn.IFNA(VLOOKUP(B762, '[1]Landfall Stats'!A:G, 7, 0), "No LF")</f>
        <v>No LF</v>
      </c>
      <c r="H762" s="3" t="str">
        <f>_xlfn.IFNA(VLOOKUP(B762, '[1]Landfall Stats'!A:G, 5, 0), "No LF")</f>
        <v>No LF</v>
      </c>
      <c r="I762" s="3" t="str">
        <f>_xlfn.IFNA(VLOOKUP(B762, '[1]Landfall Stats'!A:G, 6, 0), "No LF")</f>
        <v>No LF</v>
      </c>
      <c r="J762" s="4" t="s">
        <v>1393</v>
      </c>
      <c r="K762" s="3">
        <v>0</v>
      </c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2.75" customHeight="1" x14ac:dyDescent="0.2">
      <c r="A763" s="3">
        <v>2024</v>
      </c>
      <c r="B763" s="3" t="s">
        <v>1394</v>
      </c>
      <c r="C763" s="3" t="str">
        <f>VLOOKUP($B763, '[1]HURDAT Query'!$A$1:$F$1030, 3, 0)</f>
        <v>MILTON</v>
      </c>
      <c r="D763" s="3">
        <f>VLOOKUP($B763, '[1]HURDAT Query'!$A$1:$F$1030, 4, 0)</f>
        <v>5</v>
      </c>
      <c r="E763" s="3">
        <f>VLOOKUP($B763, '[1]HURDAT Query'!$A$1:$F$1030, 5, 0)</f>
        <v>155</v>
      </c>
      <c r="F763" s="3">
        <f>VLOOKUP($B763, '[1]HURDAT Query'!$A$1:$F$1030, 6, 0)</f>
        <v>895</v>
      </c>
      <c r="G763" s="3" t="str">
        <f>_xlfn.IFNA(VLOOKUP(B763, '[1]Landfall Stats'!A:G, 7, 0), "No LF")</f>
        <v>No LF</v>
      </c>
      <c r="H763" s="3" t="str">
        <f>_xlfn.IFNA(VLOOKUP(B763, '[1]Landfall Stats'!A:G, 5, 0), "No LF")</f>
        <v>No LF</v>
      </c>
      <c r="I763" s="3" t="str">
        <f>_xlfn.IFNA(VLOOKUP(B763, '[1]Landfall Stats'!A:G, 6, 0), "No LF")</f>
        <v>No LF</v>
      </c>
      <c r="J763" s="4" t="s">
        <v>1395</v>
      </c>
      <c r="K763" s="3">
        <v>12</v>
      </c>
      <c r="L763" s="3"/>
      <c r="M763" s="3"/>
      <c r="N763" s="3"/>
      <c r="O763" s="3"/>
      <c r="P763" s="3"/>
      <c r="Q763" s="3"/>
      <c r="R763" s="3"/>
      <c r="S763" s="3"/>
      <c r="T763" s="3">
        <v>2</v>
      </c>
      <c r="U763" s="3" t="s">
        <v>51</v>
      </c>
      <c r="V763" s="3"/>
      <c r="W763" s="3"/>
      <c r="X763" s="3">
        <v>4</v>
      </c>
      <c r="Y763" s="3" t="s">
        <v>51</v>
      </c>
      <c r="Z763" s="3">
        <v>6</v>
      </c>
      <c r="AA763" s="3" t="s">
        <v>51</v>
      </c>
      <c r="AB763" s="3"/>
      <c r="AC763" s="3"/>
      <c r="AD763" s="3"/>
      <c r="AE763" s="3"/>
    </row>
    <row r="764" spans="1:31" ht="12.75" customHeight="1" x14ac:dyDescent="0.2">
      <c r="A764" s="3">
        <v>2024</v>
      </c>
      <c r="B764" s="3" t="s">
        <v>1396</v>
      </c>
      <c r="C764" s="3" t="str">
        <f>VLOOKUP($B764, '[1]HURDAT Query'!$A$1:$F$1030, 3, 0)</f>
        <v>NADINE</v>
      </c>
      <c r="D764" s="3" t="str">
        <f>VLOOKUP($B764, '[1]HURDAT Query'!$A$1:$F$1030, 4, 0)</f>
        <v>NA</v>
      </c>
      <c r="E764" s="3" t="str">
        <f>VLOOKUP($B764, '[1]HURDAT Query'!$A$1:$F$1030, 5, 0)</f>
        <v>NA</v>
      </c>
      <c r="F764" s="3" t="str">
        <f>VLOOKUP($B764, '[1]HURDAT Query'!$A$1:$F$1030, 6, 0)</f>
        <v>NA</v>
      </c>
      <c r="G764" s="3" t="str">
        <f>_xlfn.IFNA(VLOOKUP(B764, '[1]Landfall Stats'!A:G, 7, 0), "No LF")</f>
        <v>No LF</v>
      </c>
      <c r="H764" s="3" t="str">
        <f>_xlfn.IFNA(VLOOKUP(B764, '[1]Landfall Stats'!A:G, 5, 0), "No LF")</f>
        <v>No LF</v>
      </c>
      <c r="I764" s="3" t="str">
        <f>_xlfn.IFNA(VLOOKUP(B764, '[1]Landfall Stats'!A:G, 6, 0), "No LF")</f>
        <v>No LF</v>
      </c>
      <c r="J764" s="4" t="s">
        <v>1397</v>
      </c>
      <c r="K764" s="3">
        <v>0</v>
      </c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2.75" customHeight="1" x14ac:dyDescent="0.2">
      <c r="A765" s="3">
        <v>2024</v>
      </c>
      <c r="B765" s="3" t="s">
        <v>1398</v>
      </c>
      <c r="C765" s="3" t="str">
        <f>VLOOKUP($B765, '[1]HURDAT Query'!$A$1:$F$1030, 3, 0)</f>
        <v>OSCAR</v>
      </c>
      <c r="D765" s="3">
        <f>VLOOKUP($B765, '[1]HURDAT Query'!$A$1:$F$1030, 4, 0)</f>
        <v>1</v>
      </c>
      <c r="E765" s="3">
        <f>VLOOKUP($B765, '[1]HURDAT Query'!$A$1:$F$1030, 5, 0)</f>
        <v>75</v>
      </c>
      <c r="F765" s="3">
        <f>VLOOKUP($B765, '[1]HURDAT Query'!$A$1:$F$1030, 6, 0)</f>
        <v>984</v>
      </c>
      <c r="G765" s="3" t="str">
        <f>_xlfn.IFNA(VLOOKUP(B765, '[1]Landfall Stats'!A:G, 7, 0), "No LF")</f>
        <v>No LF</v>
      </c>
      <c r="H765" s="3" t="str">
        <f>_xlfn.IFNA(VLOOKUP(B765, '[1]Landfall Stats'!A:G, 5, 0), "No LF")</f>
        <v>No LF</v>
      </c>
      <c r="I765" s="3" t="str">
        <f>_xlfn.IFNA(VLOOKUP(B765, '[1]Landfall Stats'!A:G, 6, 0), "No LF")</f>
        <v>No LF</v>
      </c>
      <c r="J765" s="4" t="s">
        <v>1399</v>
      </c>
      <c r="K765" s="3">
        <v>0</v>
      </c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12.75" customHeight="1" x14ac:dyDescent="0.2">
      <c r="A766" s="3">
        <v>2024</v>
      </c>
      <c r="B766" s="3" t="s">
        <v>1400</v>
      </c>
      <c r="C766" s="3" t="str">
        <f>VLOOKUP($B766, '[1]HURDAT Query'!$A$1:$F$1030, 3, 0)</f>
        <v>PATTY</v>
      </c>
      <c r="D766" s="3" t="str">
        <f>VLOOKUP($B766, '[1]HURDAT Query'!$A$1:$F$1030, 4, 0)</f>
        <v>NA</v>
      </c>
      <c r="E766" s="3" t="str">
        <f>VLOOKUP($B766, '[1]HURDAT Query'!$A$1:$F$1030, 5, 0)</f>
        <v>NA</v>
      </c>
      <c r="F766" s="3" t="str">
        <f>VLOOKUP($B766, '[1]HURDAT Query'!$A$1:$F$1030, 6, 0)</f>
        <v>NA</v>
      </c>
      <c r="G766" s="3" t="str">
        <f>_xlfn.IFNA(VLOOKUP(B766, '[1]Landfall Stats'!A:G, 7, 0), "No LF")</f>
        <v>No LF</v>
      </c>
      <c r="H766" s="3" t="str">
        <f>_xlfn.IFNA(VLOOKUP(B766, '[1]Landfall Stats'!A:G, 5, 0), "No LF")</f>
        <v>No LF</v>
      </c>
      <c r="I766" s="3" t="str">
        <f>_xlfn.IFNA(VLOOKUP(B766, '[1]Landfall Stats'!A:G, 6, 0), "No LF")</f>
        <v>No LF</v>
      </c>
      <c r="J766" s="4" t="s">
        <v>1401</v>
      </c>
      <c r="K766" s="3">
        <v>0</v>
      </c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2.75" customHeight="1" x14ac:dyDescent="0.2">
      <c r="A767" s="3">
        <v>2024</v>
      </c>
      <c r="B767" s="3" t="s">
        <v>1402</v>
      </c>
      <c r="C767" s="3" t="str">
        <f>VLOOKUP($B767, '[1]HURDAT Query'!$A$1:$F$1030, 3, 0)</f>
        <v>RAFAEL</v>
      </c>
      <c r="D767" s="3">
        <f>VLOOKUP($B767, '[1]HURDAT Query'!$A$1:$F$1030, 4, 0)</f>
        <v>3</v>
      </c>
      <c r="E767" s="3">
        <f>VLOOKUP($B767, '[1]HURDAT Query'!$A$1:$F$1030, 5, 0)</f>
        <v>105</v>
      </c>
      <c r="F767" s="3">
        <f>VLOOKUP($B767, '[1]HURDAT Query'!$A$1:$F$1030, 6, 0)</f>
        <v>954</v>
      </c>
      <c r="G767" s="3" t="str">
        <f>_xlfn.IFNA(VLOOKUP(B767, '[1]Landfall Stats'!A:G, 7, 0), "No LF")</f>
        <v>No LF</v>
      </c>
      <c r="H767" s="3" t="str">
        <f>_xlfn.IFNA(VLOOKUP(B767, '[1]Landfall Stats'!A:G, 5, 0), "No LF")</f>
        <v>No LF</v>
      </c>
      <c r="I767" s="3" t="str">
        <f>_xlfn.IFNA(VLOOKUP(B767, '[1]Landfall Stats'!A:G, 6, 0), "No LF")</f>
        <v>No LF</v>
      </c>
      <c r="J767" s="4" t="s">
        <v>1403</v>
      </c>
      <c r="K767" s="3">
        <v>0</v>
      </c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2.75" x14ac:dyDescent="0.2">
      <c r="A768" s="3">
        <v>2024</v>
      </c>
      <c r="B768" s="3" t="s">
        <v>1404</v>
      </c>
      <c r="C768" s="3" t="str">
        <f>VLOOKUP($B768, '[1]HURDAT Query'!$A$1:$F$1030, 3, 0)</f>
        <v>SARA</v>
      </c>
      <c r="D768" s="3" t="str">
        <f>VLOOKUP($B768, '[1]HURDAT Query'!$A$1:$F$1030, 4, 0)</f>
        <v>NA</v>
      </c>
      <c r="E768" s="3" t="str">
        <f>VLOOKUP($B768, '[1]HURDAT Query'!$A$1:$F$1030, 5, 0)</f>
        <v>NA</v>
      </c>
      <c r="F768" s="3" t="str">
        <f>VLOOKUP($B768, '[1]HURDAT Query'!$A$1:$F$1030, 6, 0)</f>
        <v>NA</v>
      </c>
      <c r="G768" s="3" t="str">
        <f>_xlfn.IFNA(VLOOKUP(B768, '[1]Landfall Stats'!A:G, 7, 0), "No LF")</f>
        <v>No LF</v>
      </c>
      <c r="H768" s="3" t="str">
        <f>_xlfn.IFNA(VLOOKUP(B768, '[1]Landfall Stats'!A:G, 5, 0), "No LF")</f>
        <v>No LF</v>
      </c>
      <c r="I768" s="3" t="str">
        <f>_xlfn.IFNA(VLOOKUP(B768, '[1]Landfall Stats'!A:G, 6, 0), "No LF")</f>
        <v>No LF</v>
      </c>
      <c r="J768" s="4" t="s">
        <v>1405</v>
      </c>
      <c r="K768" s="3">
        <v>0</v>
      </c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70" spans="1:31" s="13" customFormat="1" ht="15" customHeight="1" x14ac:dyDescent="0.2">
      <c r="A770" s="11"/>
      <c r="B770" s="11"/>
      <c r="C770" s="11"/>
      <c r="D770" s="11"/>
      <c r="E770" s="11"/>
      <c r="F770" s="11"/>
      <c r="G770" s="11"/>
      <c r="H770" s="11"/>
      <c r="I770" s="11"/>
      <c r="J770" s="12"/>
      <c r="K770" s="11">
        <f>SUM(K2:K768)</f>
        <v>2642</v>
      </c>
      <c r="L770" s="11">
        <f>SUM(L1:L768)</f>
        <v>860</v>
      </c>
      <c r="M770" s="11"/>
      <c r="N770" s="11">
        <f>SUM(N2:N768)</f>
        <v>100</v>
      </c>
      <c r="O770" s="11"/>
      <c r="P770" s="11">
        <f>SUM(P2:P768)</f>
        <v>135</v>
      </c>
      <c r="Q770" s="11"/>
      <c r="R770" s="11">
        <f>SUM(R2:R768)</f>
        <v>55</v>
      </c>
      <c r="S770" s="11"/>
      <c r="T770" s="11">
        <f>SUM(T2:T768)</f>
        <v>945</v>
      </c>
      <c r="U770" s="11"/>
      <c r="V770" s="11">
        <f>SUM(V2:V768)</f>
        <v>102</v>
      </c>
      <c r="W770" s="11"/>
      <c r="X770" s="11">
        <f>SUM(X2:X768)</f>
        <v>170</v>
      </c>
      <c r="Y770" s="11"/>
      <c r="Z770" s="11">
        <f>SUM(Z2:Z768)</f>
        <v>79</v>
      </c>
      <c r="AA770" s="11"/>
      <c r="AB770" s="11">
        <f>SUM(AB2:AB768)</f>
        <v>2</v>
      </c>
      <c r="AC770" s="11"/>
      <c r="AD770" s="11">
        <f>SUM(AD2:AD768)</f>
        <v>195</v>
      </c>
      <c r="AE770" s="11"/>
    </row>
    <row r="775" spans="1:31" ht="15" customHeight="1" x14ac:dyDescent="0.2">
      <c r="C775" s="11"/>
      <c r="D775" s="11"/>
      <c r="E775" s="11"/>
      <c r="F775" s="11"/>
      <c r="G775" s="11"/>
      <c r="H775" s="11"/>
      <c r="I775" s="11"/>
      <c r="J775" s="12"/>
      <c r="K775" s="11"/>
    </row>
    <row r="776" spans="1:31" ht="15" customHeight="1" x14ac:dyDescent="0.2">
      <c r="C776" s="11"/>
      <c r="D776" s="11"/>
      <c r="E776" s="11"/>
      <c r="F776" s="11"/>
      <c r="G776" s="11"/>
      <c r="H776" s="11"/>
      <c r="I776" s="11"/>
      <c r="J776" s="12"/>
      <c r="K776" s="14"/>
    </row>
    <row r="777" spans="1:31" ht="15" customHeight="1" x14ac:dyDescent="0.2">
      <c r="C777" s="11"/>
      <c r="D777" s="11"/>
      <c r="E777" s="11"/>
      <c r="F777" s="11"/>
      <c r="G777" s="11"/>
      <c r="H777" s="11"/>
      <c r="I777" s="11"/>
      <c r="J777" s="12"/>
      <c r="K777" s="14"/>
    </row>
    <row r="778" spans="1:31" ht="15" customHeight="1" x14ac:dyDescent="0.2">
      <c r="C778" s="11"/>
      <c r="D778" s="11"/>
      <c r="E778" s="11"/>
      <c r="F778" s="11"/>
      <c r="G778" s="11"/>
      <c r="H778" s="11"/>
      <c r="I778" s="11"/>
      <c r="J778" s="12"/>
      <c r="K778" s="14"/>
    </row>
    <row r="779" spans="1:31" ht="15" customHeight="1" x14ac:dyDescent="0.2">
      <c r="C779" s="11"/>
      <c r="D779" s="11"/>
      <c r="E779" s="11"/>
      <c r="F779" s="11"/>
      <c r="G779" s="11"/>
      <c r="H779" s="11"/>
      <c r="I779" s="11"/>
      <c r="J779" s="12"/>
      <c r="K779" s="14"/>
    </row>
    <row r="780" spans="1:31" ht="15" customHeight="1" x14ac:dyDescent="0.2">
      <c r="C780" s="11"/>
      <c r="D780" s="11"/>
      <c r="E780" s="11"/>
      <c r="F780" s="11"/>
      <c r="G780" s="11"/>
      <c r="H780" s="11"/>
      <c r="I780" s="11"/>
      <c r="J780" s="12"/>
      <c r="K780" s="14"/>
    </row>
    <row r="781" spans="1:31" ht="15" customHeight="1" x14ac:dyDescent="0.2">
      <c r="C781" s="11"/>
      <c r="D781" s="11"/>
      <c r="E781" s="11"/>
      <c r="F781" s="11"/>
      <c r="G781" s="11"/>
      <c r="H781" s="11"/>
      <c r="I781" s="11"/>
      <c r="J781" s="12"/>
      <c r="K781" s="14"/>
    </row>
    <row r="782" spans="1:31" ht="15" customHeight="1" x14ac:dyDescent="0.2">
      <c r="C782" s="11"/>
      <c r="D782" s="11"/>
      <c r="E782" s="11"/>
      <c r="F782" s="11"/>
      <c r="G782" s="11"/>
      <c r="H782" s="11"/>
      <c r="I782" s="11"/>
      <c r="J782" s="12"/>
      <c r="K782" s="14"/>
    </row>
    <row r="783" spans="1:31" ht="15" customHeight="1" x14ac:dyDescent="0.2">
      <c r="K783" s="15"/>
    </row>
    <row r="786" spans="11:11" ht="15" customHeight="1" x14ac:dyDescent="0.2">
      <c r="K786" s="16"/>
    </row>
    <row r="787" spans="11:11" ht="15" customHeight="1" x14ac:dyDescent="0.2">
      <c r="K787" s="16"/>
    </row>
    <row r="788" spans="11:11" ht="15" customHeight="1" x14ac:dyDescent="0.2">
      <c r="K788" s="16"/>
    </row>
    <row r="789" spans="11:11" ht="15" customHeight="1" x14ac:dyDescent="0.2">
      <c r="K789" s="16"/>
    </row>
    <row r="790" spans="11:11" ht="15" customHeight="1" x14ac:dyDescent="0.2">
      <c r="K790" s="16"/>
    </row>
    <row r="791" spans="11:11" ht="15" customHeight="1" x14ac:dyDescent="0.2">
      <c r="K791" s="16"/>
    </row>
    <row r="792" spans="11:11" ht="15" customHeight="1" x14ac:dyDescent="0.2">
      <c r="K792" s="16"/>
    </row>
  </sheetData>
  <autoFilter ref="A1:AE768" xr:uid="{09BAD5B0-F70C-4383-A3E7-66CB0455E5B9}"/>
  <hyperlinks>
    <hyperlink ref="J5" r:id="rId1" xr:uid="{22969491-65B5-46A9-8A5B-9593613BF5B4}"/>
    <hyperlink ref="J6" r:id="rId2" xr:uid="{8BFF6328-632F-4B83-B602-9D86F85E255A}"/>
    <hyperlink ref="J7" r:id="rId3" xr:uid="{E9F323D3-8D0A-4308-AC9D-78D8CD91B95E}"/>
    <hyperlink ref="J8" r:id="rId4" xr:uid="{A2B01075-3558-4AB9-9CF2-404C2A15FD28}"/>
    <hyperlink ref="J9" r:id="rId5" xr:uid="{5B25D8F7-498A-433B-8CEC-E8A55B51B31B}"/>
    <hyperlink ref="J10" r:id="rId6" xr:uid="{FCC82406-24F7-47D6-905E-F12CEDF57265}"/>
    <hyperlink ref="J11" r:id="rId7" xr:uid="{EDB4FD8B-5CF8-4DDC-8F17-703328076738}"/>
    <hyperlink ref="J12" r:id="rId8" xr:uid="{C985CFEC-0618-42FE-A764-7BE6AB2079AE}"/>
    <hyperlink ref="J19" r:id="rId9" xr:uid="{AC9F2026-38EB-44B1-BB75-A6B1E82AA225}"/>
    <hyperlink ref="J21" r:id="rId10" xr:uid="{4AE6714F-852F-46C3-BBD4-EDB5B2B2CABF}"/>
    <hyperlink ref="J24" r:id="rId11" xr:uid="{4EC0ADFC-8AB3-4DE2-9940-79FD625DA22A}"/>
    <hyperlink ref="J25" r:id="rId12" xr:uid="{10DD0E85-1D06-41BB-A34B-C6B28AFE26EA}"/>
    <hyperlink ref="J26" r:id="rId13" xr:uid="{CE9EE5ED-9C9E-415A-87A7-E6F72E9B941F}"/>
    <hyperlink ref="J27" r:id="rId14" xr:uid="{6487ACBC-16EC-4D03-9E3C-887A8AD71D39}"/>
    <hyperlink ref="J28" r:id="rId15" xr:uid="{2D77429D-ED7A-41DA-B9B6-C4DB33551C2D}"/>
    <hyperlink ref="J29" r:id="rId16" xr:uid="{B0BD8AD2-7D41-4ECA-93BC-3091C224863B}"/>
    <hyperlink ref="J30" r:id="rId17" xr:uid="{F6632032-C8DA-4C84-9E5C-F772240C3FE7}"/>
    <hyperlink ref="J31" r:id="rId18" xr:uid="{001EA923-E532-40B1-A5EE-3AF82A27E4EB}"/>
    <hyperlink ref="J33" r:id="rId19" xr:uid="{EC7EF3BC-7FAE-4CFC-A340-894D4E84C493}"/>
    <hyperlink ref="J34" r:id="rId20" xr:uid="{C73B08BA-ED5D-4F47-8F35-E46F512E680B}"/>
    <hyperlink ref="J36" r:id="rId21" xr:uid="{52B10796-4A80-4B5C-9226-15EE94C63253}"/>
    <hyperlink ref="J37" r:id="rId22" xr:uid="{C38E65CA-A58C-472F-BF4B-9CC81D8A6859}"/>
    <hyperlink ref="J39" r:id="rId23" xr:uid="{FC929807-5053-4993-A450-F4C278B3867F}"/>
    <hyperlink ref="J40" r:id="rId24" xr:uid="{1F55EB7F-B9DC-494F-8A04-A4A31BEC876B}"/>
    <hyperlink ref="J41" r:id="rId25" xr:uid="{561E6201-5A69-4FDB-AAD3-720CA00CB4DC}"/>
    <hyperlink ref="J42" r:id="rId26" xr:uid="{7528F295-4DED-4761-B50C-DE55B342C564}"/>
    <hyperlink ref="J43" r:id="rId27" xr:uid="{1AB0BD99-5EB8-49C2-8B49-C7F12D1A97C9}"/>
    <hyperlink ref="J44" r:id="rId28" xr:uid="{CE8BAC2D-6164-4EF8-8924-1A27DE286CB2}"/>
    <hyperlink ref="J45" r:id="rId29" xr:uid="{32C7528B-410B-4FDD-9E84-738D062F2219}"/>
    <hyperlink ref="J46" r:id="rId30" xr:uid="{F891F269-CF2B-4D62-B1F2-3113A1E89838}"/>
    <hyperlink ref="J47" r:id="rId31" xr:uid="{00DAAA64-51B9-4BB5-B71F-073E4344737B}"/>
    <hyperlink ref="J48" r:id="rId32" xr:uid="{47017D04-E8E2-421F-AACC-B1533171E30D}"/>
    <hyperlink ref="J49" r:id="rId33" xr:uid="{BDB552DF-6F5C-47AE-86EB-5E432378E641}"/>
    <hyperlink ref="J50" r:id="rId34" xr:uid="{8AB7F9CA-1F7E-4267-8915-05190A5EC5CF}"/>
    <hyperlink ref="J63" r:id="rId35" xr:uid="{FCC41C6F-DFF2-4AFA-93B6-07F5799E18C2}"/>
    <hyperlink ref="J71" r:id="rId36" xr:uid="{B866AD1C-23C8-4C5C-9B88-D282AEDE0637}"/>
    <hyperlink ref="J72" r:id="rId37" xr:uid="{5B641174-E05A-4A9A-BE59-465949011CF3}"/>
    <hyperlink ref="J73" r:id="rId38" xr:uid="{FE20C393-F77A-4F5E-9960-E5F3C62F062A}"/>
    <hyperlink ref="J74" r:id="rId39" xr:uid="{7037F44D-53F9-47D0-A43D-4A93B5A3FF28}"/>
    <hyperlink ref="J78" r:id="rId40" xr:uid="{9011FA2A-9B2E-42B4-97C2-65FE0A5D2C33}"/>
    <hyperlink ref="J79" r:id="rId41" xr:uid="{D3C97FAE-1772-4BE1-82FF-A410EFBDFE77}"/>
    <hyperlink ref="J80" r:id="rId42" xr:uid="{A525A2C8-12E6-4B29-ACB9-A9025FA75EF1}"/>
    <hyperlink ref="J81" r:id="rId43" xr:uid="{FAD3B40A-2025-48BC-9B53-15279E8BB1D1}"/>
    <hyperlink ref="J82" r:id="rId44" xr:uid="{AE5653DD-FD4C-48EC-9F04-22697179F8EC}"/>
    <hyperlink ref="J90" r:id="rId45" xr:uid="{02E2A9D9-8E11-4A9D-9F46-0B04159892B6}"/>
    <hyperlink ref="J92" r:id="rId46" xr:uid="{03BDFFA4-FAC4-47B7-9EFF-05DCD6D58664}"/>
    <hyperlink ref="J93" r:id="rId47" xr:uid="{FC3EC5AD-5882-4234-9C26-167B2033A480}"/>
    <hyperlink ref="J94" r:id="rId48" xr:uid="{6A979409-FC89-4912-82EB-288F2E9F9130}"/>
    <hyperlink ref="J95" r:id="rId49" xr:uid="{4A1089C4-3153-46EB-BD14-92E1484EEA0B}"/>
    <hyperlink ref="J96" r:id="rId50" xr:uid="{034C5D12-3D26-4AF1-9144-DC9E4C294E49}"/>
    <hyperlink ref="J97" r:id="rId51" xr:uid="{BA3BC7B3-BA8A-413F-8356-13131AF85D32}"/>
    <hyperlink ref="J190" r:id="rId52" xr:uid="{FF39FC31-43D1-43DB-938B-0CE829A9F9E1}"/>
    <hyperlink ref="J191" r:id="rId53" xr:uid="{EFDEEBA9-261A-4EC9-93D2-A0AF0D583A0F}"/>
    <hyperlink ref="J192" r:id="rId54" xr:uid="{8AC1743D-9745-4671-A523-350BEEC9F422}"/>
    <hyperlink ref="J207" r:id="rId55" xr:uid="{DC6085BE-E08B-47D6-BF08-C96DFB3020CE}"/>
    <hyperlink ref="J208" r:id="rId56" xr:uid="{6385434C-90C9-4A1C-B8E0-5533FBAA2796}"/>
    <hyperlink ref="J209" r:id="rId57" xr:uid="{A1379320-4FF6-4F29-8F4A-B22D2E40BE74}"/>
    <hyperlink ref="J210" r:id="rId58" xr:uid="{6B649259-7B67-4DA0-AC70-B2FFF43BCC3D}"/>
    <hyperlink ref="J211" r:id="rId59" xr:uid="{A278D756-F477-4604-9014-F5DEF38E543C}"/>
    <hyperlink ref="J212" r:id="rId60" xr:uid="{F8C44755-D2EF-46EC-9187-22B06E0D94B6}"/>
    <hyperlink ref="J213" r:id="rId61" xr:uid="{66DF5A3A-AB4C-4719-A029-611AD0EB1FA8}"/>
    <hyperlink ref="J214" r:id="rId62" xr:uid="{E4C5B9CD-0F3F-4979-8A56-395AFA448AB1}"/>
    <hyperlink ref="J215" r:id="rId63" xr:uid="{9D467DDF-AD32-44E3-ADBF-F2C75FAA37B6}"/>
    <hyperlink ref="J216" r:id="rId64" xr:uid="{09F8C672-D017-4C09-A159-513D28FC1214}"/>
    <hyperlink ref="J217" r:id="rId65" xr:uid="{A0644822-68A1-445F-BCEA-1B75063811B3}"/>
    <hyperlink ref="J218" r:id="rId66" xr:uid="{5ED6D52C-A8A5-4065-B18A-97539338252F}"/>
    <hyperlink ref="J220" r:id="rId67" xr:uid="{8840A044-9415-4AF2-9850-45C130B16AA7}"/>
    <hyperlink ref="J221" r:id="rId68" xr:uid="{5580485F-1F7A-42DB-BE86-249958FD580C}"/>
    <hyperlink ref="J222" r:id="rId69" xr:uid="{285363E7-52DE-45EB-AAEA-E812FA1BA83E}"/>
    <hyperlink ref="J223" r:id="rId70" xr:uid="{7F76111B-FAF9-4ACC-8BDE-4A1BCEFF46F6}"/>
    <hyperlink ref="J235" r:id="rId71" xr:uid="{DA28B94B-DAEF-4FDD-880E-CADC56F40DC2}"/>
    <hyperlink ref="J236" r:id="rId72" xr:uid="{198D3FFB-A286-4B71-B1E7-C39CAF71AC2F}"/>
    <hyperlink ref="J237" r:id="rId73" xr:uid="{4F55F261-EF5E-45ED-8606-97F629AE18E7}"/>
    <hyperlink ref="J238" r:id="rId74" xr:uid="{F0D06302-FD06-42BF-9C0C-2FD4E4670E96}"/>
    <hyperlink ref="J239" r:id="rId75" xr:uid="{3B9C0ADE-5D81-4800-AFE3-2CB6C8007BA4}"/>
    <hyperlink ref="J240" r:id="rId76" xr:uid="{4AC06A0E-A12A-425D-8475-D0D7F8A90F99}"/>
    <hyperlink ref="J241" r:id="rId77" xr:uid="{FF63D3A7-7F45-4C6D-8D80-F98F42F21714}"/>
    <hyperlink ref="J242" r:id="rId78" xr:uid="{D45E24A8-E2C0-4FF3-8525-03276577C8D7}"/>
    <hyperlink ref="J243" r:id="rId79" xr:uid="{D864FB72-9BC0-43F7-8EC5-08694B9C6E32}"/>
    <hyperlink ref="J244" r:id="rId80" xr:uid="{419A2636-F4A5-47AD-8155-FF247F4F671B}"/>
    <hyperlink ref="J245" r:id="rId81" xr:uid="{AEAE1087-8C51-4434-B79C-14BFCF4638CE}"/>
    <hyperlink ref="J246" r:id="rId82" xr:uid="{39E0793C-D781-49CB-A6EA-C15087B67447}"/>
    <hyperlink ref="J248" r:id="rId83" xr:uid="{425FB4FE-4A4B-433B-AB6C-6B2613305EE5}"/>
    <hyperlink ref="J249" r:id="rId84" xr:uid="{1024D794-A029-4C8F-90BE-4C94EB2B7361}"/>
    <hyperlink ref="J251" r:id="rId85" xr:uid="{CB02AEDD-9BC6-482B-97C3-0704A6803F6F}"/>
    <hyperlink ref="J252" r:id="rId86" xr:uid="{D92BEF76-92FB-4614-90DA-C91E0BE3EE87}"/>
    <hyperlink ref="J253" r:id="rId87" xr:uid="{34D3B16F-F6C3-4BC9-A039-3423A1F4E502}"/>
    <hyperlink ref="J254" r:id="rId88" xr:uid="{DE88D99D-62A4-48D1-8510-C437A46B2AEE}"/>
    <hyperlink ref="J255" r:id="rId89" xr:uid="{C46DBE37-93E5-4817-A146-1960BD47F316}"/>
    <hyperlink ref="J257" r:id="rId90" xr:uid="{BC4D6561-BDB1-4AAF-812F-FDA395A47F57}"/>
    <hyperlink ref="J258" r:id="rId91" xr:uid="{ED7A3CC0-8BEA-40CC-B0A1-29E41A82A95E}"/>
    <hyperlink ref="J259" r:id="rId92" xr:uid="{ACC9A7B5-CA52-4D59-943A-4F1D619052D8}"/>
    <hyperlink ref="J260" r:id="rId93" xr:uid="{021DBC77-FECC-458F-A035-5C1E1A2D79C5}"/>
    <hyperlink ref="J261" r:id="rId94" xr:uid="{7669B572-6DAB-4BA2-8EA2-3EC00804B134}"/>
    <hyperlink ref="J276" r:id="rId95" xr:uid="{99C90DAE-3B3A-4785-A59F-3090BEA4C2D0}"/>
    <hyperlink ref="J277" r:id="rId96" xr:uid="{D10CDEF9-3D9A-48DD-893F-47765AA19806}"/>
    <hyperlink ref="J278" r:id="rId97" xr:uid="{E1D453A9-DD94-4B4F-8407-75672A747BED}"/>
    <hyperlink ref="J279" r:id="rId98" xr:uid="{13E473D1-3900-4A15-8D01-4A56CED2DF67}"/>
    <hyperlink ref="J280" r:id="rId99" xr:uid="{B1572DCF-528E-4213-ADF2-8BD8B2CC1885}"/>
    <hyperlink ref="J296" r:id="rId100" xr:uid="{F5A84B18-4B59-4DAB-9581-194895BFC77A}"/>
    <hyperlink ref="J298" r:id="rId101" xr:uid="{D9DBB064-C938-40F8-BBDE-AC791A96A539}"/>
    <hyperlink ref="J299" r:id="rId102" xr:uid="{32272CE0-6702-491B-A863-A43D57BC916F}"/>
    <hyperlink ref="J300" r:id="rId103" xr:uid="{8395617D-6F8C-44E3-BF4E-9FB463D1376D}"/>
    <hyperlink ref="J302" r:id="rId104" xr:uid="{C536DD7C-2E88-49AD-BCC8-E9F30DF8ACC3}"/>
    <hyperlink ref="J303" r:id="rId105" xr:uid="{2AF398FF-FB71-43BF-B39D-F04B67AA166A}"/>
    <hyperlink ref="J304" r:id="rId106" xr:uid="{CA675510-159D-4C03-B898-CFA9B2F42279}"/>
    <hyperlink ref="J306" r:id="rId107" xr:uid="{4B5FAE96-F3BC-4AE4-999A-DF96C63661C8}"/>
    <hyperlink ref="J307" r:id="rId108" xr:uid="{14F1D5CD-7041-4CA9-8A2E-07D2C266FE90}"/>
    <hyperlink ref="J308" r:id="rId109" xr:uid="{E9709945-5163-4F98-996C-2E21FAB2889D}"/>
    <hyperlink ref="J309" r:id="rId110" xr:uid="{6CB6C623-DB59-48FC-9BE1-CB4CA5008DB7}"/>
    <hyperlink ref="J310" r:id="rId111" xr:uid="{783234FD-B8CB-4E8C-9439-C8E29773DA33}"/>
    <hyperlink ref="J311" r:id="rId112" xr:uid="{92A82970-66C7-42DA-AFAA-708DD55EAA71}"/>
    <hyperlink ref="J313" r:id="rId113" xr:uid="{47C9B128-858D-4E08-9F4A-59300403CD99}"/>
    <hyperlink ref="J314" r:id="rId114" xr:uid="{5F66F51A-519C-46DB-B61D-ACE230A8EB3F}"/>
    <hyperlink ref="J315" r:id="rId115" xr:uid="{FEFADD1C-7401-439D-9B6A-8382158E3C85}"/>
    <hyperlink ref="J316" r:id="rId116" xr:uid="{058F99CB-7158-4731-A5FD-CF7C40B77804}"/>
    <hyperlink ref="J319" r:id="rId117" xr:uid="{6BC13FB1-7399-4308-B253-4811707EA34D}"/>
    <hyperlink ref="J323" r:id="rId118" xr:uid="{C51308CA-2A4E-47BA-9C44-6C1904EF3849}"/>
    <hyperlink ref="J324" r:id="rId119" xr:uid="{5404FB5E-171A-4255-8895-CB8B9916EA17}"/>
    <hyperlink ref="J325" r:id="rId120" xr:uid="{4AE8E9D3-262A-4241-B57F-6348451F5B92}"/>
    <hyperlink ref="J326" r:id="rId121" xr:uid="{1048C38A-E014-44D0-8F27-B0A8D4E874C8}"/>
    <hyperlink ref="J327" r:id="rId122" xr:uid="{74C6BBE2-AC72-4CC1-8EE8-43479F068D02}"/>
    <hyperlink ref="J329" r:id="rId123" xr:uid="{EB73C481-2EC3-446A-A02F-746B6406955B}"/>
    <hyperlink ref="J330" r:id="rId124" xr:uid="{19F81BFC-8F3F-4F73-BF6C-E2AF87A2842C}"/>
    <hyperlink ref="J332" r:id="rId125" xr:uid="{7CBE87E5-925E-45D2-BED9-8B3A9557B433}"/>
    <hyperlink ref="J334" r:id="rId126" xr:uid="{E2DE9948-5921-4CE4-A7BE-8E4AA39C2747}"/>
    <hyperlink ref="J336" r:id="rId127" xr:uid="{9A3B81A9-DE82-440D-AB29-F342EFC3A946}"/>
    <hyperlink ref="J339" r:id="rId128" xr:uid="{2F24457D-53D9-4FC1-A4ED-B892A97CAA8C}"/>
    <hyperlink ref="J340" r:id="rId129" xr:uid="{53CB207B-9F21-417E-808D-DC6115A068D8}"/>
    <hyperlink ref="J341" r:id="rId130" xr:uid="{138F6FD7-2543-40C5-B2C0-C567284D1A4F}"/>
    <hyperlink ref="J342" r:id="rId131" xr:uid="{894C0ABA-9741-4A4E-9536-9F7D70F432F6}"/>
    <hyperlink ref="J343" r:id="rId132" xr:uid="{6A980545-A255-46EA-B4AC-F6A51C3D26AB}"/>
    <hyperlink ref="J344" r:id="rId133" xr:uid="{6C9E5B1B-0EBC-4F76-B635-64D7AFB3512B}"/>
    <hyperlink ref="J345" r:id="rId134" xr:uid="{20C0CE0C-FCFF-4961-A5D0-A5E63AB6DE26}"/>
    <hyperlink ref="J346" r:id="rId135" xr:uid="{1030F1A7-C0A9-4405-B320-F194113FCA68}"/>
    <hyperlink ref="J347" r:id="rId136" xr:uid="{EF1DF80A-4A52-48FE-B7BE-CBCD58F578A4}"/>
    <hyperlink ref="J350" r:id="rId137" xr:uid="{8928A513-2B96-440C-AE7F-12629DCFAB9A}"/>
    <hyperlink ref="J351" r:id="rId138" xr:uid="{BEDE8E18-EB9E-49C4-B387-2DC5B22B7F06}"/>
    <hyperlink ref="J352" r:id="rId139" xr:uid="{F589126C-9C26-4EF1-A3A1-76FFF9BDB345}"/>
    <hyperlink ref="J353" r:id="rId140" xr:uid="{BC874659-BBD3-4D89-89B0-3891C9EEDC29}"/>
    <hyperlink ref="J354" r:id="rId141" xr:uid="{F15E7A82-4350-4BE1-B0EE-4F70EBCBF352}"/>
    <hyperlink ref="J355" r:id="rId142" xr:uid="{7250C6AE-4D8F-4064-9722-301A266F7349}"/>
    <hyperlink ref="J358" r:id="rId143" xr:uid="{BD940D49-C3EE-4CAA-9174-628796EDEFD7}"/>
    <hyperlink ref="J359" r:id="rId144" xr:uid="{5DB3CF85-AE24-4456-9315-E914DBE9247A}"/>
    <hyperlink ref="J360" r:id="rId145" xr:uid="{DD61A608-AF4F-42EF-97FF-CF2102E253C6}"/>
    <hyperlink ref="J361" r:id="rId146" xr:uid="{9BC5AE0B-C70C-4C03-9D46-0F7F0FB7DCA6}"/>
    <hyperlink ref="J363" r:id="rId147" xr:uid="{5202B74E-EE97-464E-AD33-8C1DF51D7B66}"/>
    <hyperlink ref="J364" r:id="rId148" xr:uid="{4E9A33E9-174F-488A-A4FD-164F85D7FE46}"/>
    <hyperlink ref="J365" r:id="rId149" xr:uid="{237B54FD-01D4-4FAE-ADF9-360409D012E5}"/>
    <hyperlink ref="J366" r:id="rId150" xr:uid="{35745EB6-3EA1-492E-A91A-DC7AF1A62C42}"/>
    <hyperlink ref="J367" r:id="rId151" xr:uid="{EB0455E7-AF53-4136-9EA9-A40B0D61FD3D}"/>
    <hyperlink ref="J368" r:id="rId152" xr:uid="{F5F95010-DA3B-4F3F-99C9-EC4F64AA2A17}"/>
    <hyperlink ref="J369" r:id="rId153" xr:uid="{A3386574-F2C1-4DB4-A6CE-EBFCD44F1943}"/>
    <hyperlink ref="J370" r:id="rId154" xr:uid="{2796A87B-EA8B-4710-8A39-0E479BD9CBAA}"/>
    <hyperlink ref="J371" r:id="rId155" xr:uid="{22833266-84B7-483F-82D4-8AF46D875AE5}"/>
    <hyperlink ref="J372" r:id="rId156" xr:uid="{DBB19F06-187F-4828-9D4C-CAC2F46C51D5}"/>
    <hyperlink ref="J373" r:id="rId157" xr:uid="{73E29142-208A-4D4D-91FA-702DAE8DAB94}"/>
    <hyperlink ref="J374" r:id="rId158" xr:uid="{A4D55D4D-CCDE-44E8-8BBF-7C9B2AB32654}"/>
    <hyperlink ref="J375" r:id="rId159" xr:uid="{E598D944-E2F5-4B6B-A016-7013C6F998B5}"/>
    <hyperlink ref="J376" r:id="rId160" xr:uid="{EE2D5BA9-6C2C-43D8-8663-6DE581127C79}"/>
    <hyperlink ref="J377" r:id="rId161" xr:uid="{4FFF0F30-89D8-476B-99F6-33D910C8888E}"/>
    <hyperlink ref="J380" r:id="rId162" xr:uid="{142FC668-42C2-4A8A-A1AB-18387764A923}"/>
    <hyperlink ref="J381" r:id="rId163" xr:uid="{0AA8C490-521C-44E3-A425-5C044DAD6629}"/>
    <hyperlink ref="J383" r:id="rId164" xr:uid="{EB7FD5E1-0646-4D76-9A5D-A9287DA1B19C}"/>
    <hyperlink ref="J386" r:id="rId165" xr:uid="{80375B22-9B01-4335-952F-F47C8F7DA4D9}"/>
    <hyperlink ref="J387" r:id="rId166" xr:uid="{45EBD95D-9B0C-4B41-B804-18B39F5D4276}"/>
    <hyperlink ref="J388" r:id="rId167" xr:uid="{476858E6-4CF1-4A94-A7E0-F654F31EFA5A}"/>
    <hyperlink ref="J389" r:id="rId168" xr:uid="{7417E5BF-2629-48F2-8F0C-5D925B2885F8}"/>
    <hyperlink ref="J390" r:id="rId169" xr:uid="{23B325B4-E0BA-4034-9209-094E6EFB150F}"/>
    <hyperlink ref="J392" r:id="rId170" xr:uid="{625F84A7-641E-4CA7-B69E-C23D00F04080}"/>
    <hyperlink ref="J393" r:id="rId171" xr:uid="{5FA7ABE3-8A7A-47C1-9B4E-EB6062650461}"/>
    <hyperlink ref="J394" r:id="rId172" xr:uid="{543A9248-C5A7-45F3-BFF0-11AA5FE57D3A}"/>
    <hyperlink ref="J395" r:id="rId173" xr:uid="{D97004B6-FC2C-495C-A8FC-CC468DC7C184}"/>
    <hyperlink ref="J396" r:id="rId174" xr:uid="{4D16EE81-01D0-444F-A404-253E134E8417}"/>
    <hyperlink ref="J397" r:id="rId175" xr:uid="{A4231303-4347-4F45-BED9-3D2214B2445A}"/>
    <hyperlink ref="J398" r:id="rId176" xr:uid="{29C20D70-8791-4AB1-AC26-68EBFE8F0F1E}"/>
    <hyperlink ref="J399" r:id="rId177" xr:uid="{B0BC5EAF-513B-40EF-92F8-15E84048A06F}"/>
    <hyperlink ref="J400" r:id="rId178" xr:uid="{A0D02DD8-D6E7-44D1-9EFB-650C3EE85D40}"/>
    <hyperlink ref="J402" r:id="rId179" xr:uid="{422929EF-10D3-45A9-AAC6-EF824599E601}"/>
    <hyperlink ref="J403" r:id="rId180" xr:uid="{827B8422-0B4D-40F2-9D8F-02A2EB16469B}"/>
    <hyperlink ref="J406" r:id="rId181" xr:uid="{B5505F7A-6ABE-475B-9607-3A36D03EFCA8}"/>
    <hyperlink ref="J409" r:id="rId182" xr:uid="{17E65B75-989E-4E74-BED6-BA518843B308}"/>
    <hyperlink ref="J410" r:id="rId183" xr:uid="{D7975B1E-D99B-4784-BFC2-B86DF8D2EB82}"/>
    <hyperlink ref="J411" r:id="rId184" xr:uid="{1FD50745-0640-443A-B7E7-516623A2AE44}"/>
    <hyperlink ref="J412" r:id="rId185" xr:uid="{D4BD1818-B5BF-4835-A701-A366D363A000}"/>
    <hyperlink ref="J413" r:id="rId186" xr:uid="{C45DB783-C2CF-40C3-9714-341E64B720AC}"/>
    <hyperlink ref="J414" r:id="rId187" xr:uid="{F95E091F-B03C-425F-8350-A3B6DD76D666}"/>
    <hyperlink ref="J415" r:id="rId188" xr:uid="{D1FDD753-1A04-400F-87AA-6C9D0ECCAFEE}"/>
    <hyperlink ref="J418" r:id="rId189" xr:uid="{65CE157B-0040-4293-8A1B-F7AD4DC11467}"/>
    <hyperlink ref="J419" r:id="rId190" xr:uid="{02B65B0D-5B3D-4E2F-BAD0-6218BAFBDA16}"/>
    <hyperlink ref="J420" r:id="rId191" xr:uid="{B74547F9-3BD1-4CDF-876A-2C4FCC22B87F}"/>
    <hyperlink ref="J421" r:id="rId192" xr:uid="{E2BDC48C-A007-41F6-BFEC-3DF3CB2379B1}"/>
    <hyperlink ref="J422" r:id="rId193" xr:uid="{4BAE6527-CE88-4A4D-AA02-058055F179FA}"/>
    <hyperlink ref="J423" r:id="rId194" xr:uid="{694928A2-34D7-424A-8D61-AC2986698843}"/>
    <hyperlink ref="J424" r:id="rId195" xr:uid="{506050E8-F16A-444F-AF12-CD7CD91BD947}"/>
    <hyperlink ref="J426" r:id="rId196" xr:uid="{A52A938E-4932-4948-AF12-B001A9D64B18}"/>
    <hyperlink ref="J427" r:id="rId197" xr:uid="{C31CD957-5C1B-4746-9947-A1EB7D789274}"/>
    <hyperlink ref="J428" r:id="rId198" xr:uid="{F56E3CC3-4A86-451C-9800-823C57056E7C}"/>
    <hyperlink ref="J430" r:id="rId199" xr:uid="{E25C3979-5895-4F0F-993B-7191ADA955C6}"/>
    <hyperlink ref="J432" r:id="rId200" xr:uid="{538A01BA-B54A-4DEE-85A3-D52135C457C0}"/>
    <hyperlink ref="J433" r:id="rId201" xr:uid="{EC86C9E3-7679-472E-AF01-E6E729A891C5}"/>
    <hyperlink ref="J434" r:id="rId202" xr:uid="{143681ED-62E6-4664-B349-994CECD0BDBE}"/>
    <hyperlink ref="J435" r:id="rId203" xr:uid="{89296702-B235-44D5-84BD-B953F46EB784}"/>
    <hyperlink ref="J436" r:id="rId204" xr:uid="{962C804A-D7F2-430D-8424-52F2027FF6A4}"/>
    <hyperlink ref="J438" r:id="rId205" xr:uid="{8110F746-4B72-4B88-B444-C1B52518A4C2}"/>
    <hyperlink ref="J439" r:id="rId206" xr:uid="{8353E620-5F56-467E-8EB6-D44E93F1ED3F}"/>
    <hyperlink ref="J440" r:id="rId207" xr:uid="{7E5B54AB-584C-41F8-8316-0A2ADD96D2EB}"/>
    <hyperlink ref="J441" r:id="rId208" xr:uid="{C87C109B-8BF2-4A33-8B60-0C307AE1B2D2}"/>
    <hyperlink ref="J442" r:id="rId209" xr:uid="{60D95B2A-FA0B-42A2-9535-7AD7E9FAAB68}"/>
    <hyperlink ref="J443" r:id="rId210" xr:uid="{F8D04063-1FBE-42E0-8819-4FE8D0FE2C44}"/>
    <hyperlink ref="J444" r:id="rId211" xr:uid="{51F921EB-C428-4A54-ABB5-446E139741A2}"/>
    <hyperlink ref="J445" r:id="rId212" xr:uid="{B8F73699-6673-4D45-97B3-BEE6FA2DD797}"/>
    <hyperlink ref="J446" r:id="rId213" xr:uid="{F0B20798-8B48-4C40-BBE4-4D0936AB382A}"/>
    <hyperlink ref="J447" r:id="rId214" xr:uid="{3DE7C3FE-0FDB-48E8-A9D1-B75FEEF6798F}"/>
    <hyperlink ref="J449" r:id="rId215" xr:uid="{B51E82E2-4817-490F-8D1C-4FB057B9B8F2}"/>
    <hyperlink ref="J450" r:id="rId216" xr:uid="{97B52BC9-2651-4358-A82C-9009E04B9B0B}"/>
    <hyperlink ref="J451" r:id="rId217" xr:uid="{8BF8E2A0-5CBE-4CA7-AF49-AB586C74642C}"/>
    <hyperlink ref="J452" r:id="rId218" xr:uid="{558BEE1C-A768-43AC-8EE1-95F556464E24}"/>
    <hyperlink ref="J453" r:id="rId219" xr:uid="{9B4FF893-46FE-4C44-8053-8D7F8249A114}"/>
    <hyperlink ref="J454" r:id="rId220" xr:uid="{B6938295-4EDF-4F74-B45D-D91845338222}"/>
    <hyperlink ref="J455" r:id="rId221" xr:uid="{CCA32558-5649-41A7-85A3-6C36BEB600E6}"/>
    <hyperlink ref="J456" r:id="rId222" xr:uid="{51D466C6-E579-4FB2-9660-E0DA43986104}"/>
    <hyperlink ref="J457" r:id="rId223" xr:uid="{9419EB34-7FF0-4777-A1BE-479447812316}"/>
    <hyperlink ref="J458" r:id="rId224" xr:uid="{FAB43047-FA17-4B72-ABC5-2126ED851746}"/>
    <hyperlink ref="J459" r:id="rId225" xr:uid="{C66D619F-BD37-4A4D-ADA2-109B15F49C7F}"/>
    <hyperlink ref="J460" r:id="rId226" xr:uid="{B0AB9601-EF2F-46CD-92E6-558FCFD43C0D}"/>
    <hyperlink ref="J462" r:id="rId227" xr:uid="{181A8ABA-5F14-4409-A11E-BE75B1D83292}"/>
    <hyperlink ref="J463" r:id="rId228" xr:uid="{AF791973-DCC8-4862-8761-7316A759FEDB}"/>
    <hyperlink ref="J464" r:id="rId229" xr:uid="{AE3F3BD3-6238-4C61-AEE2-61E544FC9FB3}"/>
    <hyperlink ref="J465" r:id="rId230" xr:uid="{02CD79F8-6E60-4CBA-8DFF-36CA9F18F882}"/>
    <hyperlink ref="J466" r:id="rId231" xr:uid="{5FC8DD7A-657B-4457-893E-B2EAF4D04292}"/>
    <hyperlink ref="J467" r:id="rId232" xr:uid="{EB990500-474D-45C7-98A7-295799769BBE}"/>
    <hyperlink ref="J468" r:id="rId233" xr:uid="{3EAF6459-4DF2-402F-B751-7A803F647A07}"/>
    <hyperlink ref="J469" r:id="rId234" xr:uid="{32B80EFD-61ED-4CCB-93E0-38DE85A7F64B}"/>
    <hyperlink ref="J470" r:id="rId235" xr:uid="{362166ED-B8E8-4DA5-BF56-E4595C560580}"/>
    <hyperlink ref="J471" r:id="rId236" xr:uid="{4EAD1F76-E813-4D41-9DBD-66B9AA49A59D}"/>
    <hyperlink ref="J472" r:id="rId237" xr:uid="{DFC351EA-FB69-4082-BD59-AE8E2FFC9E95}"/>
    <hyperlink ref="J474" r:id="rId238" xr:uid="{91200D58-78A4-44F6-B2E2-7337B82F021D}"/>
    <hyperlink ref="J475" r:id="rId239" xr:uid="{66383E66-BCC0-4A17-9615-323266EB3E91}"/>
    <hyperlink ref="J480" r:id="rId240" xr:uid="{05B51131-90FA-4D24-9E2B-42511BE8EAB9}"/>
    <hyperlink ref="J481" r:id="rId241" xr:uid="{113D7567-9A1E-430A-A3EE-57B326399A67}"/>
    <hyperlink ref="J482" r:id="rId242" xr:uid="{18351AE3-B1F5-4D7D-90EE-23A70C7AAD77}"/>
    <hyperlink ref="J483" r:id="rId243" xr:uid="{0D244A27-DF1B-44B0-BD89-AD17F525351A}"/>
    <hyperlink ref="J484" r:id="rId244" xr:uid="{61F622F8-BA4B-44E1-89E4-9B9E03487472}"/>
    <hyperlink ref="J485" r:id="rId245" xr:uid="{B7E0FEDA-547A-48BC-92A1-BB3BA6C46CDD}"/>
    <hyperlink ref="J486" r:id="rId246" xr:uid="{03AD7AC8-7497-42DF-80B9-4036A71B9AD7}"/>
    <hyperlink ref="J487" r:id="rId247" xr:uid="{7F5254F9-D7DF-4B15-BA62-6E9DD096529F}"/>
    <hyperlink ref="J488" r:id="rId248" xr:uid="{B7A71BF7-F888-4DE0-BB03-2A884F7CF109}"/>
    <hyperlink ref="J489" r:id="rId249" xr:uid="{42F2F9F5-C64F-405F-A547-64987C6441B6}"/>
    <hyperlink ref="J490" r:id="rId250" xr:uid="{6A70BBA2-CE23-41C5-AD1E-6D263A23DA29}"/>
    <hyperlink ref="J491" r:id="rId251" xr:uid="{8E0BE611-B134-4117-8445-8FE7103AED01}"/>
    <hyperlink ref="J492" r:id="rId252" xr:uid="{505D7138-17AF-4FD0-A3C2-6A5544E0E9D4}"/>
    <hyperlink ref="J493" r:id="rId253" xr:uid="{F55EAD68-5283-4571-A21C-1CE7D42190FE}"/>
    <hyperlink ref="J494" r:id="rId254" xr:uid="{37C5D7CA-BC01-4ED7-AE20-142C4A97A055}"/>
    <hyperlink ref="J495" r:id="rId255" xr:uid="{D553B6A2-0B40-49F3-91AA-17C8BB4F4EE8}"/>
    <hyperlink ref="J496" r:id="rId256" xr:uid="{FD6BBB6E-0300-49DA-B45F-3A88ECD9A330}"/>
    <hyperlink ref="J497" r:id="rId257" xr:uid="{DCC7C7C9-80D0-4ED7-88A9-6EBD138411F2}"/>
    <hyperlink ref="J498" r:id="rId258" xr:uid="{03E79D50-3C09-4C7F-8C97-23DAED67B364}"/>
    <hyperlink ref="J499" r:id="rId259" xr:uid="{35871BFD-8DAD-4286-B022-EA4EA07CE52E}"/>
    <hyperlink ref="J500" r:id="rId260" xr:uid="{D7C3ED2C-AB3A-4283-BFD9-1A60D6E03F5F}"/>
    <hyperlink ref="J501" r:id="rId261" xr:uid="{58F50180-8DBC-46F5-8DE1-D57F9796D8D6}"/>
    <hyperlink ref="J502" r:id="rId262" xr:uid="{2A568DEF-E912-492E-A858-4F8B8B15542D}"/>
    <hyperlink ref="J503" r:id="rId263" xr:uid="{7F4AA2FC-E6DA-40AA-AB3D-2E1C4FFE0080}"/>
    <hyperlink ref="J504" r:id="rId264" xr:uid="{9A48C8C5-2E8C-4C44-BFDC-898F455DD6D3}"/>
    <hyperlink ref="J506" r:id="rId265" xr:uid="{E820C321-565D-47D9-803F-0BEF28492CEA}"/>
    <hyperlink ref="J507" r:id="rId266" xr:uid="{44C1D6FF-9CCA-4FA2-BC8A-DF45BA752150}"/>
    <hyperlink ref="J509" r:id="rId267" xr:uid="{392EB129-71E3-4F7E-89A6-4F29C1102EE4}"/>
    <hyperlink ref="J510" r:id="rId268" xr:uid="{0CEEA0ED-AA4C-4761-96E1-2030CC1EAA78}"/>
    <hyperlink ref="J511" r:id="rId269" xr:uid="{0D543DF3-3910-4F53-BA2D-191EB364B6C3}"/>
    <hyperlink ref="J512" r:id="rId270" xr:uid="{F92025E0-6FBD-4805-B178-0EC8369DE141}"/>
    <hyperlink ref="J513" r:id="rId271" xr:uid="{98877228-CE93-48E9-B1D8-B5842F12E3B6}"/>
    <hyperlink ref="J514" r:id="rId272" xr:uid="{527C8832-B38A-465C-A414-A3C7CB82F456}"/>
    <hyperlink ref="J515" r:id="rId273" xr:uid="{316D7451-9E3F-4B0A-B747-6B2B3970D57E}"/>
    <hyperlink ref="J516" r:id="rId274" xr:uid="{140A4C51-5B03-496E-809C-67CAF2FDC9EB}"/>
    <hyperlink ref="J517" r:id="rId275" xr:uid="{F4F697CC-1F3A-486E-9AB6-10AAEE19C129}"/>
    <hyperlink ref="J518" r:id="rId276" xr:uid="{D71BBB95-A798-4A80-A385-EBEC556121C1}"/>
    <hyperlink ref="J519" r:id="rId277" xr:uid="{54CE5EFA-D73F-4A08-9B8A-A337683FD71A}"/>
    <hyperlink ref="J520" r:id="rId278" xr:uid="{DC34F75E-4528-4CD0-BB1F-7CEA335F3A83}"/>
    <hyperlink ref="J521" r:id="rId279" xr:uid="{C0B3D052-CCAF-4A77-B12E-2458E310E824}"/>
    <hyperlink ref="J522" r:id="rId280" xr:uid="{FA665E07-59DC-43BB-91D3-E4F6E8F0B22D}"/>
    <hyperlink ref="J523" r:id="rId281" xr:uid="{DA870687-9CA8-45A6-A69F-DA2962367E3B}"/>
    <hyperlink ref="J524" r:id="rId282" xr:uid="{EA4E0EFD-4B18-4405-A1B4-C9BDA2D4A985}"/>
    <hyperlink ref="J525" r:id="rId283" xr:uid="{B3B16EAE-1E4F-484D-9E38-05AE1BA87E37}"/>
    <hyperlink ref="J526" r:id="rId284" xr:uid="{B3A03A58-43C5-4577-BE5F-9C137C80B778}"/>
    <hyperlink ref="J527" r:id="rId285" xr:uid="{2740A769-B1B4-43A0-AD7C-49D99F91DD6F}"/>
    <hyperlink ref="J529" r:id="rId286" xr:uid="{01833D31-221D-4A75-B632-DFE36E6BED49}"/>
    <hyperlink ref="J530" r:id="rId287" xr:uid="{C9C80872-5D95-4298-BE30-1E8DEE604C27}"/>
    <hyperlink ref="J531" r:id="rId288" xr:uid="{B1D1FE88-865F-463D-80C8-7C4F32856021}"/>
    <hyperlink ref="J533" r:id="rId289" xr:uid="{46F2D78C-6719-441F-BE15-A07A64A0A760}"/>
    <hyperlink ref="J534" r:id="rId290" xr:uid="{003D654E-1953-4745-8951-69BBE2934EA9}"/>
    <hyperlink ref="J535" r:id="rId291" xr:uid="{6E531591-8449-4813-8222-C8D75103129F}"/>
    <hyperlink ref="J536" r:id="rId292" xr:uid="{B0208E71-35E0-4CBE-90C5-A47C7FF9EA73}"/>
    <hyperlink ref="J537" r:id="rId293" xr:uid="{1F84D50E-3BE5-4EF0-9419-F65822184346}"/>
    <hyperlink ref="J538" r:id="rId294" xr:uid="{850558A4-08D1-4424-827B-CA4ED1305AFD}"/>
    <hyperlink ref="J539" r:id="rId295" xr:uid="{7ADB36CC-0B5C-4CEB-A398-ED803F343BAA}"/>
    <hyperlink ref="J540" r:id="rId296" xr:uid="{31F86527-4FF8-477A-BAFE-9D09833308BD}"/>
    <hyperlink ref="J541" r:id="rId297" xr:uid="{A9CBDCF0-02F2-4C51-BEAE-4BF1680412A1}"/>
    <hyperlink ref="J542" r:id="rId298" xr:uid="{C97776A5-19BD-4299-A35E-AA1D6E3978D2}"/>
    <hyperlink ref="J543" r:id="rId299" xr:uid="{DCD012FF-1656-432E-9092-D1E4559D5116}"/>
    <hyperlink ref="J544" r:id="rId300" xr:uid="{88486FA0-E14D-4D9A-9390-B7D41E1DB6AC}"/>
    <hyperlink ref="J545" r:id="rId301" xr:uid="{0CC4553C-4C38-4FF6-80ED-0741CA613DF2}"/>
    <hyperlink ref="J546" r:id="rId302" xr:uid="{79E98CD4-0E10-4FE8-8BB7-301687507972}"/>
    <hyperlink ref="J548" r:id="rId303" xr:uid="{00DCC6B6-9123-4BF3-9938-B83235A30CFF}"/>
    <hyperlink ref="J549" r:id="rId304" xr:uid="{A67AEB13-F37C-4764-85A7-EEBDEAECF915}"/>
    <hyperlink ref="J550" r:id="rId305" xr:uid="{69E4E605-7DF3-4F9A-A26E-55DF0376AFEE}"/>
    <hyperlink ref="J551" r:id="rId306" xr:uid="{4D6ADAD0-DE05-45AD-BB67-3BFE409352E6}"/>
    <hyperlink ref="J552" r:id="rId307" xr:uid="{B1E315D2-DEA0-4ECD-BD5F-380E60B6F439}"/>
    <hyperlink ref="J553" r:id="rId308" xr:uid="{D5C38778-CB32-47C3-B78A-A48D3E0FB0F6}"/>
    <hyperlink ref="J554" r:id="rId309" xr:uid="{ED70448C-27C6-4B96-AFB4-8A6C845B568D}"/>
    <hyperlink ref="J555" r:id="rId310" xr:uid="{E2EC9A1D-D58F-4BD5-8990-0950A5D00F8A}"/>
    <hyperlink ref="J557" r:id="rId311" xr:uid="{84B95AED-4C00-412D-83FA-8AA2FDE3AD80}"/>
    <hyperlink ref="J558" r:id="rId312" xr:uid="{CE6609C7-BC3F-4B45-95F0-DB2BA302EF4E}"/>
    <hyperlink ref="J559" r:id="rId313" xr:uid="{B5355A73-4355-491E-83C7-16653D968E9A}"/>
    <hyperlink ref="J560" r:id="rId314" xr:uid="{E6150FC7-2BBE-4600-AC7A-61A490C3555D}"/>
    <hyperlink ref="J561" r:id="rId315" xr:uid="{310D45EA-A0B8-48BF-9DAF-7AC9966CC6D6}"/>
    <hyperlink ref="J562" r:id="rId316" xr:uid="{B0CCBA01-D6A2-4EA0-B793-7A359C33F95A}"/>
    <hyperlink ref="J563" r:id="rId317" xr:uid="{41EB7650-9F88-4AEA-9E5C-EA6F28D86E59}"/>
    <hyperlink ref="J564" r:id="rId318" xr:uid="{073185CB-81D0-43D4-8995-FD8D5492F3BA}"/>
    <hyperlink ref="J565" r:id="rId319" xr:uid="{1D2A79D3-0B19-4C56-A451-38DF29ADFEC8}"/>
    <hyperlink ref="J566" r:id="rId320" xr:uid="{823725A4-215C-405D-BE73-2CD8CA808EBC}"/>
    <hyperlink ref="J567" r:id="rId321" xr:uid="{6A7894B6-6523-4B66-9A2E-EAB129076AE3}"/>
    <hyperlink ref="J568" r:id="rId322" xr:uid="{A0D1FBAB-7F5E-4C85-84D5-5475427B3854}"/>
    <hyperlink ref="J569" r:id="rId323" xr:uid="{E1A33A6F-836C-433F-BEE8-CC60D950C9D4}"/>
    <hyperlink ref="J570" r:id="rId324" xr:uid="{64DEA6FF-B63F-4C23-B86F-972CBBB6E94D}"/>
    <hyperlink ref="J571" r:id="rId325" xr:uid="{173C368B-6E67-495E-AF6F-CCF63DAE58C0}"/>
    <hyperlink ref="J572" r:id="rId326" xr:uid="{6A2467B4-094F-419C-A155-0446C0177D55}"/>
    <hyperlink ref="J573" r:id="rId327" xr:uid="{2F99A287-02D9-4DD8-8A5A-0F8494ED0F1A}"/>
    <hyperlink ref="J574" r:id="rId328" xr:uid="{FAC48723-789C-4E15-AFCA-59A9D516F327}"/>
    <hyperlink ref="J575" r:id="rId329" xr:uid="{CA875332-5F86-4C91-87F4-58AB149703E5}"/>
    <hyperlink ref="J576" r:id="rId330" xr:uid="{C9CBFA8E-1F5D-4479-B5F2-0AFC7B9FD7F4}"/>
    <hyperlink ref="J577" r:id="rId331" xr:uid="{54DF53E6-97DE-44C9-8CB5-659619174276}"/>
    <hyperlink ref="J578" r:id="rId332" xr:uid="{1689D705-B267-42C3-8205-B0BE2B51926A}"/>
    <hyperlink ref="J579" r:id="rId333" xr:uid="{F7D035E7-49E4-4287-9374-F1649155C939}"/>
    <hyperlink ref="J580" r:id="rId334" xr:uid="{03DCD9B5-B64A-4865-903A-9A6B4B5713AC}"/>
    <hyperlink ref="J581" r:id="rId335" xr:uid="{BD38E0FE-2C6E-4581-9448-08B50AF990BB}"/>
    <hyperlink ref="J582" r:id="rId336" xr:uid="{B5E61537-C0E1-4C6F-9F70-B48BD0977ACB}"/>
    <hyperlink ref="J583" r:id="rId337" xr:uid="{C4CD742E-04D9-45E7-9CE3-0BE251EA9DE0}"/>
    <hyperlink ref="J584" r:id="rId338" xr:uid="{C0D2A481-320A-41E1-A932-48A3892BD05B}"/>
    <hyperlink ref="J585" r:id="rId339" xr:uid="{417386DA-F4E4-4180-8AD8-78ED4BE008D7}"/>
    <hyperlink ref="J586" r:id="rId340" xr:uid="{BD3F7F9F-F499-4175-909E-C0A5C87FA35E}"/>
    <hyperlink ref="J587" r:id="rId341" xr:uid="{7B83A055-F146-4427-9BFD-FC15D5286E52}"/>
    <hyperlink ref="J588" r:id="rId342" xr:uid="{7DF8FE03-58F5-44BF-8E01-6B71C31FA8B5}"/>
    <hyperlink ref="J589" r:id="rId343" xr:uid="{19C5B77D-65F4-4FAB-9266-571591019A23}"/>
    <hyperlink ref="J590" r:id="rId344" xr:uid="{69B4B37D-7DCE-4F93-B54A-1911A23641E5}"/>
    <hyperlink ref="J591" r:id="rId345" xr:uid="{FFB55BDE-D293-4FB4-AC43-72EE6AD9331C}"/>
    <hyperlink ref="J592" r:id="rId346" xr:uid="{2B4A0EDB-29A2-47B4-994E-BB35032ED082}"/>
    <hyperlink ref="J593" r:id="rId347" xr:uid="{5C013128-B544-4CCC-A6D1-BA0CBC633F56}"/>
    <hyperlink ref="J594" r:id="rId348" xr:uid="{6E629634-BD87-44CC-91F2-4DD35F396B1F}"/>
    <hyperlink ref="J595" r:id="rId349" xr:uid="{745FF8AC-5A06-4972-A889-36B70C8E92B9}"/>
    <hyperlink ref="J596" r:id="rId350" xr:uid="{055D3884-AEAD-449A-A95E-6F0F1A82B014}"/>
    <hyperlink ref="J597" r:id="rId351" xr:uid="{82D4E603-F944-42AA-ADAA-6B54B4CD4F98}"/>
    <hyperlink ref="J598" r:id="rId352" xr:uid="{2F55BBFD-35F4-41F7-B02B-96C8A15C0C1D}"/>
    <hyperlink ref="J599" r:id="rId353" xr:uid="{5FC10187-B34A-4D66-8EC8-B4340B938E45}"/>
    <hyperlink ref="J600" r:id="rId354" xr:uid="{8C8E95F5-961F-41D3-B266-802CEC829EE9}"/>
    <hyperlink ref="J602" r:id="rId355" xr:uid="{66D79BA4-E31E-4036-A1FD-90D0C0366444}"/>
    <hyperlink ref="J603" r:id="rId356" xr:uid="{82D61989-8EB7-4916-9B64-89018B507A9B}"/>
    <hyperlink ref="J604" r:id="rId357" xr:uid="{6DBD51A4-1D3C-4571-88AA-50866B026E5E}"/>
    <hyperlink ref="J605" r:id="rId358" xr:uid="{E6647D60-687F-49D9-8F3D-7E8A97BE40C3}"/>
    <hyperlink ref="J607" r:id="rId359" xr:uid="{88C67E95-711D-4F01-A7EE-1CA6DC5D2A17}"/>
    <hyperlink ref="J608" r:id="rId360" xr:uid="{4E5D9829-61DC-4631-B194-CEA65D5CB806}"/>
    <hyperlink ref="J609" r:id="rId361" xr:uid="{4C9ABEE2-ADCA-46C4-A4AB-DF238451A8F4}"/>
    <hyperlink ref="J610" r:id="rId362" xr:uid="{82826A97-7BDA-4E13-8F43-5EC09C220B6C}"/>
    <hyperlink ref="J611" r:id="rId363" xr:uid="{F31C758E-9BC8-4F69-BA96-7C9D13DAE0DE}"/>
    <hyperlink ref="J612" r:id="rId364" xr:uid="{D4C59CBF-1201-4D11-82AF-33A3F081A5D2}"/>
    <hyperlink ref="J613" r:id="rId365" xr:uid="{F2021D99-B82B-4C54-AEC9-BB99B75D916D}"/>
    <hyperlink ref="J614" r:id="rId366" xr:uid="{C23824A9-F508-4F6C-B2C5-F76F608FEF9A}"/>
    <hyperlink ref="J615" r:id="rId367" xr:uid="{99E32322-43F0-4F3D-85D9-EF6AD0AC7B7E}"/>
    <hyperlink ref="J616" r:id="rId368" xr:uid="{AB12C386-17B6-4D3E-A5F5-2A201BBAF3B8}"/>
    <hyperlink ref="J619" r:id="rId369" xr:uid="{C34B42AA-8B9C-4C73-BAEB-A6EA3AFB49B6}"/>
    <hyperlink ref="J620" r:id="rId370" xr:uid="{6A221C2C-2351-493C-86D5-3AADCC1255C0}"/>
    <hyperlink ref="J621" r:id="rId371" xr:uid="{DD037362-7CEE-4099-AA71-E6A03996659F}"/>
    <hyperlink ref="J622" r:id="rId372" xr:uid="{F5CCAFF2-4740-4970-8883-BC7DDDF31F89}"/>
    <hyperlink ref="J624" r:id="rId373" xr:uid="{A8CFB7F1-EA2F-4050-9F99-D615EBD4E30D}"/>
    <hyperlink ref="J625" r:id="rId374" xr:uid="{E0BE807F-0972-4DBE-BDFE-3066735F9A8B}"/>
    <hyperlink ref="J626" r:id="rId375" xr:uid="{E625DFEE-6870-4405-AB6D-9640BF73FA1A}"/>
    <hyperlink ref="J627" r:id="rId376" xr:uid="{4B9B4E23-4ECB-49B7-A04F-66662E25E13D}"/>
    <hyperlink ref="J628" r:id="rId377" xr:uid="{70CF256A-FF3D-4CAB-9DC8-E47C0DAF657C}"/>
    <hyperlink ref="J629" r:id="rId378" xr:uid="{556ACA4A-653E-4E7F-9136-91C6D04AD821}"/>
    <hyperlink ref="J630" r:id="rId379" xr:uid="{D180E406-60F4-4DFC-951A-1E6448E841BB}"/>
    <hyperlink ref="J631" r:id="rId380" xr:uid="{D4EEF29D-C82F-4921-92BC-2385D7973177}"/>
    <hyperlink ref="J633" r:id="rId381" xr:uid="{0D6D4BCE-1948-4A3B-8A20-C4FFDD853B2D}"/>
    <hyperlink ref="J634" r:id="rId382" xr:uid="{98AE1A4E-B427-4414-BBA8-39147E5933D0}"/>
    <hyperlink ref="J635" r:id="rId383" xr:uid="{326DA815-34A4-4A84-8DBC-70889AFCECEE}"/>
    <hyperlink ref="J636" r:id="rId384" xr:uid="{570B7A27-B67A-4389-A50E-0D7C6C94C2BA}"/>
    <hyperlink ref="J637" r:id="rId385" xr:uid="{6E160FEF-07F2-4DF5-9D22-3935BAEE8614}"/>
    <hyperlink ref="J638" r:id="rId386" xr:uid="{A0A77E0E-B499-4B75-BBFA-F5502BD70E03}"/>
    <hyperlink ref="J639" r:id="rId387" xr:uid="{2CAC0032-EB39-4105-9D67-CE803AD28198}"/>
    <hyperlink ref="J641" r:id="rId388" xr:uid="{C6D49009-2EB0-4189-BFF3-362C32A55DAA}"/>
    <hyperlink ref="J642" r:id="rId389" xr:uid="{16A54275-C9DC-4485-97A6-276060EEE543}"/>
    <hyperlink ref="J643" r:id="rId390" xr:uid="{20C87430-E854-42D5-8DCB-5FF309AB25F8}"/>
    <hyperlink ref="J644" r:id="rId391" xr:uid="{6839A7FF-5F73-41E5-8E86-CA3F59CE5DF5}"/>
    <hyperlink ref="J645" r:id="rId392" xr:uid="{84BE8442-B27E-43E5-B5E7-44751B6574D8}"/>
    <hyperlink ref="J646" r:id="rId393" xr:uid="{ADF91081-A8BE-4EA0-88E9-57302F76F02E}"/>
    <hyperlink ref="J648" r:id="rId394" xr:uid="{5BEF1688-C00B-42E7-89AD-A89007F64327}"/>
    <hyperlink ref="J649" r:id="rId395" xr:uid="{EDA11EEE-7886-46DC-BEB5-4C09C513855A}"/>
    <hyperlink ref="J650" r:id="rId396" xr:uid="{CE8E5C53-319E-4E9B-B08C-B5581B53197B}"/>
    <hyperlink ref="J651" r:id="rId397" xr:uid="{76E9D73B-82AF-45D9-BC3F-06313556E404}"/>
    <hyperlink ref="J652" r:id="rId398" xr:uid="{68A03443-E6D4-482D-8EF7-94FE96AF2017}"/>
    <hyperlink ref="J654" r:id="rId399" xr:uid="{E72255EA-74AC-47E6-BA13-9130C5A3F12B}"/>
    <hyperlink ref="J655" r:id="rId400" xr:uid="{A8BF6636-E225-430A-B87E-8FDB08890491}"/>
    <hyperlink ref="J656" r:id="rId401" xr:uid="{4777C903-9866-463D-BFB5-1B4C8F508C97}"/>
    <hyperlink ref="J657" r:id="rId402" xr:uid="{9B3AAEEE-8BEE-4B2E-8A8D-89E8629ECA92}"/>
    <hyperlink ref="J658" r:id="rId403" xr:uid="{AA417B0A-BDEA-40A2-9E50-483318E38322}"/>
    <hyperlink ref="J659" r:id="rId404" xr:uid="{3E1E36D2-04EC-4542-947D-50CD0CD0B6AE}"/>
    <hyperlink ref="J660" r:id="rId405" xr:uid="{CA1F5D35-1272-407D-B630-5C2B37497149}"/>
    <hyperlink ref="J661" r:id="rId406" xr:uid="{3B875527-D6DD-4199-B184-C60F15F78534}"/>
    <hyperlink ref="J662" r:id="rId407" xr:uid="{045BED0B-CA26-49A1-973B-83A4AFDD2063}"/>
    <hyperlink ref="J663" r:id="rId408" xr:uid="{07A57A9D-A093-4A37-97AE-154233EB48E9}"/>
    <hyperlink ref="J664" r:id="rId409" xr:uid="{1E0C91BD-0106-43BD-85EF-A5C866503A5C}"/>
    <hyperlink ref="J665" r:id="rId410" xr:uid="{4D2036CE-9EBF-40C1-BAD3-B11E3E652850}"/>
    <hyperlink ref="J666" r:id="rId411" xr:uid="{5D25238E-BE91-4A2C-AF80-4C405E1CD2C0}"/>
    <hyperlink ref="J667" r:id="rId412" xr:uid="{3C435749-48A8-481C-9BD2-5DA1F1FB0A64}"/>
    <hyperlink ref="J668" r:id="rId413" xr:uid="{313CAA73-E60D-400A-8720-93CDAC072BF8}"/>
    <hyperlink ref="J669" r:id="rId414" xr:uid="{5AA19396-218B-48C9-96B9-96710F4AFC92}"/>
    <hyperlink ref="J672" r:id="rId415" xr:uid="{7BBEBE01-30A9-4781-8977-614DABD1BFC6}"/>
    <hyperlink ref="J673" r:id="rId416" xr:uid="{7420570A-2F6D-4396-960C-A3C29E9C1A73}"/>
    <hyperlink ref="J674" r:id="rId417" xr:uid="{A709AC46-7CDA-4921-ADC4-849C87343589}"/>
    <hyperlink ref="J676" r:id="rId418" xr:uid="{8CF4055C-1D82-49C5-B7A1-4309D907352D}"/>
    <hyperlink ref="J677" r:id="rId419" xr:uid="{38F6A3FF-2A35-4015-B7AF-34D281F3FF0C}"/>
    <hyperlink ref="J678" r:id="rId420" xr:uid="{B141F983-BEF5-461B-A819-C5902ABC103B}"/>
    <hyperlink ref="J679" r:id="rId421" xr:uid="{26718340-0A99-4F30-B847-81721C4F0A27}"/>
    <hyperlink ref="J680" r:id="rId422" xr:uid="{C70F0140-8D54-4674-BAB9-5DCA0B546C76}"/>
    <hyperlink ref="J682" r:id="rId423" xr:uid="{C1324583-751E-462A-9FED-F863151AEEB5}"/>
    <hyperlink ref="J683" r:id="rId424" xr:uid="{929310D6-8077-4CCB-9727-CB023A915B6E}"/>
    <hyperlink ref="J684" r:id="rId425" xr:uid="{52127CB3-33A0-4A0E-B3FF-E97B55C1206B}"/>
    <hyperlink ref="J685" r:id="rId426" xr:uid="{B978B662-B116-4356-8346-A6AA23096075}"/>
    <hyperlink ref="J686" r:id="rId427" xr:uid="{CBA33F1E-DB8A-4203-AF40-38E46D2CBC2F}"/>
    <hyperlink ref="J687" r:id="rId428" xr:uid="{92FC9CB6-5DEB-4406-BB0F-725B4F40D95A}"/>
    <hyperlink ref="J689" r:id="rId429" xr:uid="{58D7EE49-7E23-4304-855A-A69D63FBBCA2}"/>
    <hyperlink ref="J692" r:id="rId430" xr:uid="{0121FEC3-F28E-4FC4-8F10-703B95FE15D7}"/>
    <hyperlink ref="J693" r:id="rId431" xr:uid="{763B897E-EF3A-484C-8A98-6489C1562758}"/>
    <hyperlink ref="J694" r:id="rId432" xr:uid="{525F4957-CCA4-45D7-9D59-68FBF00DCAFC}"/>
    <hyperlink ref="J695" r:id="rId433" xr:uid="{D5FD866E-CCAA-4155-8470-C752E7254FE5}"/>
    <hyperlink ref="J696" r:id="rId434" xr:uid="{CDB4D4E6-9B71-45F0-A81F-4BBD02FFCD71}"/>
    <hyperlink ref="J697" r:id="rId435" xr:uid="{9CAEFAD9-F8F7-4A3C-A899-7ED8F8F0A6D4}"/>
    <hyperlink ref="J700" r:id="rId436" xr:uid="{B85D4ECF-17A6-4BCC-94FB-3BE1BB24882B}"/>
    <hyperlink ref="J701" r:id="rId437" xr:uid="{D92722C0-9000-4AB2-9C8F-F1A6F6D371CD}"/>
    <hyperlink ref="J703" r:id="rId438" xr:uid="{F192BF4F-85B1-4E4B-A3BE-A730C1741CDD}"/>
    <hyperlink ref="J704" r:id="rId439" xr:uid="{B1C99D57-B3D5-416A-BCE6-CE93F5ED5779}"/>
    <hyperlink ref="J705" r:id="rId440" xr:uid="{07BF25BB-531B-4EE0-8F9F-584EB7189AF3}"/>
    <hyperlink ref="J706" r:id="rId441" xr:uid="{487CE1FE-97A2-40DA-9809-4741D4D37A6B}"/>
    <hyperlink ref="J708" r:id="rId442" xr:uid="{7336F21E-C93C-43AE-BE9A-AEA7791F290A}"/>
    <hyperlink ref="J709" r:id="rId443" xr:uid="{69D9ABAA-DE30-4374-95FB-B0C86AE6E4DF}"/>
    <hyperlink ref="J710" r:id="rId444" xr:uid="{5EF3FE45-DA8D-412C-9D79-AF62AEDB314A}"/>
    <hyperlink ref="J711" r:id="rId445" xr:uid="{AEA82C63-10B2-41C1-8C80-C1ADE9F47123}"/>
    <hyperlink ref="J712" r:id="rId446" xr:uid="{9D59D6C4-DD86-4014-B63B-74667CBE5752}"/>
    <hyperlink ref="J713" r:id="rId447" xr:uid="{090083E6-7889-4DC0-A5AA-7CD5C6972F3A}"/>
    <hyperlink ref="J714" r:id="rId448" xr:uid="{6F58AA81-385C-40AF-90A5-92C09E7321F8}"/>
    <hyperlink ref="J715" r:id="rId449" xr:uid="{C0DA9BCE-D136-4389-BC62-884568DAB6B4}"/>
    <hyperlink ref="J716" r:id="rId450" xr:uid="{69C91782-DDAA-4745-BD87-047B2A536077}"/>
    <hyperlink ref="J717" r:id="rId451" xr:uid="{56FBC617-EBA1-46DB-B0DE-A32E7A39FC35}"/>
    <hyperlink ref="J718" r:id="rId452" xr:uid="{B6DF08BA-F864-41E5-AA00-D27043177594}"/>
    <hyperlink ref="J719" r:id="rId453" xr:uid="{E5BCA6E8-C6BB-4223-9E4F-D884F1A287C1}"/>
    <hyperlink ref="J720" r:id="rId454" xr:uid="{B21408F8-CF99-4359-88F2-4329F69DCE44}"/>
    <hyperlink ref="J721" r:id="rId455" xr:uid="{2481B98F-CF12-48C6-A428-2479E6B39A3F}"/>
    <hyperlink ref="J723" r:id="rId456" xr:uid="{ECCD332D-59FF-4C71-B19D-B97063CCDEAE}"/>
    <hyperlink ref="J724" r:id="rId457" xr:uid="{1AE08965-B6B8-4291-8DE3-1C82DDF7699A}"/>
    <hyperlink ref="J725" r:id="rId458" xr:uid="{19CC4166-C6B4-4BC3-9FD7-E8CD81B6FBF2}"/>
    <hyperlink ref="J726" r:id="rId459" xr:uid="{0EAE9F35-C2E3-4540-A5A2-21B53BC09C09}"/>
    <hyperlink ref="J727" r:id="rId460" xr:uid="{4F3E85B4-AA65-4839-B6AD-A3FE5441487A}"/>
    <hyperlink ref="J728" r:id="rId461" xr:uid="{77C4A37F-AD8D-4351-BE49-78CE44DEA281}"/>
    <hyperlink ref="J729" r:id="rId462" xr:uid="{8B775166-1B41-4E7D-9462-909967BAF9B9}"/>
    <hyperlink ref="J730" r:id="rId463" xr:uid="{6DF94D26-BB4C-4FF2-933B-CD6E7F8AE42B}"/>
    <hyperlink ref="J731" r:id="rId464" xr:uid="{D0CF9A84-A5EA-4012-BA85-087E2A34BF32}"/>
    <hyperlink ref="J732" r:id="rId465" xr:uid="{43AC2E9B-4914-4A4C-9B26-2228685C2D32}"/>
    <hyperlink ref="J733" r:id="rId466" xr:uid="{647050D0-86DC-426B-B47B-FFEC55C48609}"/>
    <hyperlink ref="J734" r:id="rId467" xr:uid="{940347E1-A76F-45E1-8915-DF12154CAFD1}"/>
    <hyperlink ref="J735" r:id="rId468" xr:uid="{6DD33C19-2BB1-4A93-AA9F-757F237CA786}"/>
    <hyperlink ref="J736" r:id="rId469" xr:uid="{72713277-3FBE-4701-B877-A24E82BED3BD}"/>
    <hyperlink ref="J737" r:id="rId470" xr:uid="{BA34A5BC-E202-4F2F-BAB4-F1334C34BC14}"/>
    <hyperlink ref="J738" r:id="rId471" xr:uid="{47531600-0027-4094-9A27-EC54333EAE9E}"/>
    <hyperlink ref="J740" r:id="rId472" xr:uid="{36727415-C2D8-417B-BC27-42D7C4A9E18F}"/>
    <hyperlink ref="J741" r:id="rId473" xr:uid="{F97FBC5A-79E0-460A-B8E0-39C790FEBFC7}"/>
    <hyperlink ref="J742" r:id="rId474" xr:uid="{4F124F16-9694-4B5F-BDB9-0F8E783A1C45}"/>
    <hyperlink ref="J743" r:id="rId475" xr:uid="{B3ED286A-A1D8-4672-BAA9-5BFD6ED30922}"/>
    <hyperlink ref="J744" r:id="rId476" xr:uid="{6E2DB606-8CE4-40F0-A282-C96E7EDEA145}"/>
    <hyperlink ref="J745" r:id="rId477" xr:uid="{71DA51F5-13B4-4E86-83F1-F7A8EDD5FD06}"/>
    <hyperlink ref="J746" r:id="rId478" xr:uid="{01271EE4-C63D-48A8-9EC1-BC9B30A7694D}"/>
    <hyperlink ref="J747" r:id="rId479" xr:uid="{46F8F641-3747-40EF-A90D-B21E5010C263}"/>
    <hyperlink ref="J748" r:id="rId480" xr:uid="{98AA0181-1E7B-4C9F-850C-E58010EA8157}"/>
    <hyperlink ref="J749" r:id="rId481" xr:uid="{D5C04E4D-9423-4913-9E64-5EBAEC611970}"/>
    <hyperlink ref="J750" r:id="rId482" xr:uid="{4494F53F-E238-4451-B02D-86F8083C579B}"/>
    <hyperlink ref="J751" r:id="rId483" xr:uid="{AA75E632-7DB4-45C6-AE50-A6A8390D7F22}"/>
    <hyperlink ref="J753" r:id="rId484" xr:uid="{62424122-2E64-452A-BAB8-E5E059377742}"/>
    <hyperlink ref="J755" r:id="rId485" xr:uid="{3893D976-06C0-41B3-BB05-9FE27C7135E9}"/>
    <hyperlink ref="J756" r:id="rId486" xr:uid="{64EA37A8-660C-42BE-AA6B-806E3709BA0C}"/>
    <hyperlink ref="J757" r:id="rId487" xr:uid="{A5ACEB2A-4A29-4963-A6AE-418EC5F41D4D}"/>
    <hyperlink ref="J758" r:id="rId488" xr:uid="{C0F4C613-298B-4430-9FBB-66D11096B0A1}"/>
    <hyperlink ref="J759" r:id="rId489" xr:uid="{B93FE100-81E7-4446-9A08-77EB01ECBD8E}"/>
    <hyperlink ref="J760" r:id="rId490" xr:uid="{7DAA43B0-CD6C-4882-9759-9B025C5A1382}"/>
    <hyperlink ref="J761" r:id="rId491" xr:uid="{A616F8B5-5B22-428F-BE1D-9DB875EB99A9}"/>
    <hyperlink ref="J762" r:id="rId492" xr:uid="{B47AE921-5845-400A-BA74-D7F43F117D58}"/>
    <hyperlink ref="J763" r:id="rId493" xr:uid="{A58650BD-BED4-4C17-BFF9-11CAFFE7FAD0}"/>
    <hyperlink ref="J764" r:id="rId494" xr:uid="{A1E9080B-602D-484A-8817-D12826880D55}"/>
    <hyperlink ref="J765" r:id="rId495" xr:uid="{9BAC6940-A436-40B7-B71D-B99044F5E275}"/>
    <hyperlink ref="J766" r:id="rId496" xr:uid="{71622507-009D-41F9-91D9-4A6C1DF471CD}"/>
    <hyperlink ref="J767" r:id="rId497" xr:uid="{380ECAC0-DD11-4AA8-B689-CF56A3298B04}"/>
    <hyperlink ref="J768" r:id="rId498" xr:uid="{B83508ED-B6E4-4B8C-9610-9FAA287613A7}"/>
    <hyperlink ref="J606" r:id="rId499" xr:uid="{37C83CC9-6A8A-45F1-B628-D791E8265D68}"/>
    <hyperlink ref="J87" r:id="rId500" xr:uid="{86AA4C9B-3381-4E7D-A344-211287D8C219}"/>
    <hyperlink ref="J86" r:id="rId501" xr:uid="{E581F882-4799-4B78-BE8D-4BBEFFBD1A02}"/>
    <hyperlink ref="J722" r:id="rId502" xr:uid="{125AEA2C-909D-48E5-9060-A4681E43D6FB}"/>
    <hyperlink ref="J67" r:id="rId503" xr:uid="{0C6646F7-FADF-478D-81CF-98D95EFB04D6}"/>
    <hyperlink ref="J175" r:id="rId504" xr:uid="{63029754-F6BD-41A8-8070-74D5CACBFFB0}"/>
    <hyperlink ref="J632" r:id="rId505" xr:uid="{11E0BB89-CB0E-409B-9428-FA8B0BF478D1}"/>
    <hyperlink ref="J681" r:id="rId506" xr:uid="{EC5ED031-DAA3-474F-9143-2044DD41C666}"/>
    <hyperlink ref="J754" r:id="rId507" xr:uid="{5C9B9897-6BE4-44A9-A4C0-289869CC6649}"/>
    <hyperlink ref="J752" r:id="rId508" xr:uid="{3FD5B501-F0B7-43CB-85C7-425CCE7AAC8A}"/>
    <hyperlink ref="J739" r:id="rId509" xr:uid="{2EFB5186-822C-4688-B7A8-78E3AAD7CB53}"/>
    <hyperlink ref="J2" r:id="rId510" xr:uid="{2B00F114-6504-4562-ACCA-145DCE27640F}"/>
    <hyperlink ref="J3" r:id="rId511" xr:uid="{F9570CD5-C93F-477A-85D7-50943A3C9BA3}"/>
    <hyperlink ref="J707" r:id="rId512" xr:uid="{7A5115BB-7644-43DD-B86C-DB567DE0D162}"/>
    <hyperlink ref="J702" r:id="rId513" xr:uid="{AFA3774F-0905-45E5-B1D4-2FBB0D31BF2F}"/>
    <hyperlink ref="J699" r:id="rId514" xr:uid="{1A7236EC-F60C-484F-A36F-A84D7EB8774E}"/>
    <hyperlink ref="J698" r:id="rId515" xr:uid="{C2420CB4-036B-442A-A0D7-F6120667AD28}"/>
    <hyperlink ref="J691" r:id="rId516" xr:uid="{B02F53BC-596F-4590-8E3F-81821D48A137}"/>
    <hyperlink ref="J232" r:id="rId517" xr:uid="{2FA55131-18DF-46FF-BFBC-95A4075CC501}"/>
    <hyperlink ref="J505" r:id="rId518" xr:uid="{9420F0BC-1948-4A8C-97B3-ED4666B9932B}"/>
    <hyperlink ref="J508" r:id="rId519" xr:uid="{E27EAA55-F386-4A34-9A99-5B04E60632E0}"/>
    <hyperlink ref="J528" r:id="rId520" xr:uid="{FABFE293-EFDB-4448-929A-39C2DD7FA051}"/>
    <hyperlink ref="J532" r:id="rId521" xr:uid="{9DB48F73-BF2A-412E-8A4D-05F40FF051D7}"/>
    <hyperlink ref="J547" r:id="rId522" xr:uid="{119919EF-31EB-4613-959D-089082F3B5B9}"/>
    <hyperlink ref="J556" r:id="rId523" xr:uid="{A5183668-8ED7-429D-AF3E-22CF223138F1}"/>
    <hyperlink ref="J690" r:id="rId524" xr:uid="{768C54D6-B0F1-4B37-B684-A1F23A419FA4}"/>
    <hyperlink ref="J688" r:id="rId525" xr:uid="{73A3B913-2988-4627-B891-D8B2C645BEE1}"/>
    <hyperlink ref="J675" r:id="rId526" xr:uid="{07D4D6D0-A768-49C0-BF08-00317FADDCCE}"/>
    <hyperlink ref="J671" r:id="rId527" xr:uid="{189F688F-0417-4BB9-9341-63599CFC876F}"/>
    <hyperlink ref="J670" r:id="rId528" xr:uid="{A539FE13-022C-4CD3-B086-91C139D920E7}"/>
    <hyperlink ref="J653" r:id="rId529" xr:uid="{7445E850-B81A-4AD0-81E0-B5A7553AFB1A}"/>
    <hyperlink ref="J647" r:id="rId530" xr:uid="{9DA714B3-7E08-49C2-877E-1668F93A9F23}"/>
    <hyperlink ref="J479" r:id="rId531" xr:uid="{5EC9E14B-E425-411D-96A7-B34CB9596569}"/>
    <hyperlink ref="J55" r:id="rId532" xr:uid="{E6D14225-58ED-4C02-88C0-99E47D5B8865}"/>
    <hyperlink ref="J64" r:id="rId533" xr:uid="{26CAC2B5-F2C7-447D-A903-89216B216F65}"/>
    <hyperlink ref="J98" r:id="rId534" xr:uid="{1539DFEA-6E08-4472-95FE-5FA996234FA2}"/>
    <hyperlink ref="J105" r:id="rId535" xr:uid="{E35DB0EA-1BEE-427B-AFCE-5B7A539D53F1}"/>
    <hyperlink ref="J113" r:id="rId536" xr:uid="{29596915-8FE5-4FC9-8147-43715E6E2DCB}"/>
    <hyperlink ref="J127" r:id="rId537" xr:uid="{A1C939A8-E436-4887-B184-F790A20445AD}"/>
    <hyperlink ref="J126" r:id="rId538" xr:uid="{F242F8A7-5452-466E-87D5-1CE1EADA0F03}"/>
    <hyperlink ref="J17" r:id="rId539" xr:uid="{D7F0084D-D1A9-44F4-9FA2-957202817033}"/>
    <hyperlink ref="J138" r:id="rId540" xr:uid="{DF45A705-8EA9-48B8-ACAB-F42A2CA209FE}"/>
    <hyperlink ref="J146" r:id="rId541" xr:uid="{C02BA559-688F-498F-905E-3123AAD9826C}"/>
    <hyperlink ref="J157" r:id="rId542" xr:uid="{C1595839-4000-40F0-B32E-38D522BA555C}"/>
    <hyperlink ref="J168" r:id="rId543" xr:uid="{39FB895C-BD3B-4D3B-9F76-CA75C52384E2}"/>
    <hyperlink ref="J177" r:id="rId544" xr:uid="{69F1BAF2-D123-4DAF-B76B-2C5941C76FB5}"/>
    <hyperlink ref="J178" r:id="rId545" xr:uid="{A561E998-2144-4A92-8255-1B794CA87F27}"/>
    <hyperlink ref="J201" r:id="rId546" xr:uid="{79F8C30F-E3CB-43A8-B6D5-815674372EBC}"/>
    <hyperlink ref="J225" r:id="rId547" xr:uid="{E8FEF5B2-9169-42DF-A17F-BB002A93BC9A}"/>
    <hyperlink ref="J262" r:id="rId548" xr:uid="{14F63000-7CC6-4020-AF8A-81C68C8226B9}"/>
    <hyperlink ref="J297" r:id="rId549" xr:uid="{7F9A0822-08B0-4A40-A47E-85970525F196}"/>
    <hyperlink ref="J305" r:id="rId550" xr:uid="{448B25CB-C901-4CC8-8BA3-F0C73A040EFD}"/>
    <hyperlink ref="J312" r:id="rId551" xr:uid="{82D50588-448C-42A8-B1CF-2787F9BBFAC4}"/>
    <hyperlink ref="J317" r:id="rId552" xr:uid="{F2D4A139-078F-4A43-8560-47E7D2ABCCD5}"/>
    <hyperlink ref="J320" r:id="rId553" xr:uid="{4D0D6B68-6FD7-4596-868D-6FD5793DAC91}"/>
    <hyperlink ref="J321" r:id="rId554" xr:uid="{077BFB23-DC3A-41B9-801B-3C2E7F1BF792}"/>
    <hyperlink ref="J322" r:id="rId555" xr:uid="{5E231AFF-3FE8-4DDB-99FB-728E611DD389}"/>
    <hyperlink ref="J328" r:id="rId556" xr:uid="{F59D8883-D3B3-488C-973C-D4D4D77BA21C}"/>
    <hyperlink ref="J337" r:id="rId557" xr:uid="{C867CB6F-04D6-4E82-A289-A62591B413E9}"/>
    <hyperlink ref="J338" r:id="rId558" xr:uid="{2BAB837A-003A-47D9-8C4A-C4E568098D1C}"/>
    <hyperlink ref="J38" r:id="rId559" xr:uid="{56F5CDC3-AEBE-4F64-8FBA-9418131E7F63}"/>
    <hyperlink ref="J4" r:id="rId560" xr:uid="{14BC1216-18BE-43CB-A072-F4712F19DED1}"/>
    <hyperlink ref="J401" r:id="rId561" xr:uid="{5015CAE7-91AB-44FD-B3C0-39693215CF46}"/>
    <hyperlink ref="J405" r:id="rId562" xr:uid="{0808B387-127A-4BEF-8800-182DA7201283}"/>
    <hyperlink ref="J20" r:id="rId563" xr:uid="{EB039950-6CB2-4D23-A13C-E10D244705E0}"/>
    <hyperlink ref="J32" r:id="rId564" xr:uid="{B7E34557-4D28-4B18-86F1-28B987E61D3A}"/>
    <hyperlink ref="J54" r:id="rId565" location=":~:text=Rappaport%20(2014)%2C%20henceforth%20R14,deaths%20occurred%20during%20that%20period." xr:uid="{1DC934F8-96C6-4E84-B4E0-A2D8EB5596C1}"/>
    <hyperlink ref="J66" r:id="rId566" xr:uid="{6088EE44-0016-42D1-82D0-036D4A048C26}"/>
    <hyperlink ref="J109" r:id="rId567" xr:uid="{471B59EC-AA15-41F2-A44C-AEA1FA483182}"/>
    <hyperlink ref="J141" r:id="rId568" xr:uid="{A87D6E9F-F410-4641-B6E9-76F9D0290A36}"/>
    <hyperlink ref="J142" r:id="rId569" xr:uid="{1492C44D-97C6-45B8-BD45-C182ADB73501}"/>
    <hyperlink ref="J174" r:id="rId570" xr:uid="{19B23739-F449-4409-9A8E-4582ABDB5BB1}"/>
    <hyperlink ref="J196" r:id="rId571" xr:uid="{5B9E6EF1-93D6-4D8A-AB52-0FBA35116058}"/>
    <hyperlink ref="J226" r:id="rId572" xr:uid="{8AD18657-0DC9-4B37-A30D-A74ADA2220B1}"/>
    <hyperlink ref="J231" r:id="rId573" xr:uid="{0EA68D93-A9DC-4F87-829E-D29F8CE0F29C}"/>
    <hyperlink ref="J247" r:id="rId574" xr:uid="{82B5E89E-571E-4C3C-BDA3-9642E7205393}"/>
    <hyperlink ref="J270" r:id="rId575" xr:uid="{CBBBD572-5D89-4CC0-B149-C1BC0C6C48C2}"/>
    <hyperlink ref="J281" r:id="rId576" xr:uid="{B073D1F1-DA65-453F-AC32-8E9F9F76FAEE}"/>
    <hyperlink ref="J282" r:id="rId577" xr:uid="{D280E8CB-87E0-4B1F-88C1-5B7D344E8125}"/>
    <hyperlink ref="J286" r:id="rId578" xr:uid="{8CA4AB37-EABC-4BF8-8421-2555F4C89781}"/>
    <hyperlink ref="J318" r:id="rId579" xr:uid="{5EB8C0BE-64E5-4F7A-BD9B-F6B814141F6B}"/>
    <hyperlink ref="J335" r:id="rId580" xr:uid="{4AECB75C-E329-4F48-BCB4-E2B334D2AA61}"/>
    <hyperlink ref="J425" r:id="rId581" xr:uid="{FAA3C9D8-EA1F-425A-AB3F-02F3CA39B673}"/>
    <hyperlink ref="J301" r:id="rId582" xr:uid="{A5E3A457-B184-4720-B94C-F5CF3E0440D5}"/>
    <hyperlink ref="J84" r:id="rId583" xr:uid="{26A548FF-5603-42B3-A9DD-60B0A6CC83CF}"/>
    <hyperlink ref="J477" r:id="rId584" xr:uid="{FF8ABC97-020F-489C-BCF6-2D8A7153A394}"/>
    <hyperlink ref="J417" r:id="rId585" xr:uid="{5EE3108C-A693-4B01-A1DE-83FE06232C76}"/>
    <hyperlink ref="J404" r:id="rId586" xr:uid="{43B2638C-1737-467D-8C8E-B78594E096BB}"/>
    <hyperlink ref="J13" r:id="rId587" xr:uid="{6DE3560D-458D-4248-B4C1-83F666932BCD}"/>
    <hyperlink ref="J14" r:id="rId588" xr:uid="{BABECDC8-0A5E-4E3E-86EC-DE64876DDDDB}"/>
    <hyperlink ref="J15" r:id="rId589" xr:uid="{C4B0C320-F1A1-49A0-B799-26925DCB4604}"/>
    <hyperlink ref="J16" r:id="rId590" xr:uid="{D4341A46-18CC-4C39-80CA-6700A8BF30FE}"/>
    <hyperlink ref="J18" r:id="rId591" xr:uid="{684CB3E4-5829-4101-BE8D-20AEEEE529EF}"/>
    <hyperlink ref="J22" r:id="rId592" xr:uid="{A6F8C712-F9E6-44A9-B2FF-2DACC1866E39}"/>
    <hyperlink ref="J23" r:id="rId593" xr:uid="{2D62ACE0-5CCE-4527-92A4-FF50729D2B92}"/>
    <hyperlink ref="J51" r:id="rId594" xr:uid="{C8C7801B-92B2-4CA7-A5D5-4189A393A331}"/>
    <hyperlink ref="J52" r:id="rId595" xr:uid="{23E76C1E-C8D0-41BC-9684-1700DFCED5BF}"/>
    <hyperlink ref="J53" r:id="rId596" xr:uid="{5CEB9B83-E192-4F96-BF4C-032737D2A32A}"/>
    <hyperlink ref="J56" r:id="rId597" xr:uid="{5E88B0A5-6D8A-4C4E-920C-EF083E0BC9E5}"/>
    <hyperlink ref="J57" r:id="rId598" xr:uid="{0898EC9F-93D9-4E77-8486-86F32655537C}"/>
    <hyperlink ref="J58" r:id="rId599" xr:uid="{4000F863-3A25-4F33-8306-184014523D32}"/>
    <hyperlink ref="J59" r:id="rId600" xr:uid="{D8A9D591-8E03-4063-BAEA-6CA1870EC5CC}"/>
    <hyperlink ref="J60" r:id="rId601" xr:uid="{9C507494-8C36-4A62-A308-EC5933E3D318}"/>
    <hyperlink ref="J61" r:id="rId602" xr:uid="{37A2FB39-B32B-4B3B-B31A-DA3BC2129BAF}"/>
    <hyperlink ref="J62" r:id="rId603" xr:uid="{1590AF4E-EFFF-4B60-85A0-C117DA9C79E7}"/>
    <hyperlink ref="J65" r:id="rId604" xr:uid="{DBE6329E-5152-4B13-B258-DAB14365420E}"/>
    <hyperlink ref="J68" r:id="rId605" xr:uid="{12EA2F51-3DB3-4ABB-BB3B-EE88FEA11F0D}"/>
    <hyperlink ref="J69" r:id="rId606" xr:uid="{D8B7FF15-C4C2-4A1D-85A9-6F2454B8CD12}"/>
    <hyperlink ref="J70" r:id="rId607" xr:uid="{48E48797-23C9-46C8-9D65-9B4DB35E1C40}"/>
    <hyperlink ref="J75" r:id="rId608" xr:uid="{F32E8FEA-4D17-4479-BBA2-4E33290F2FD6}"/>
    <hyperlink ref="J76" r:id="rId609" xr:uid="{7183C1D2-BF0E-46DC-B60C-BD2D6F5959AF}"/>
    <hyperlink ref="J77" r:id="rId610" xr:uid="{31F46F40-49C6-4226-A054-A0F48E84BB68}"/>
    <hyperlink ref="J85" r:id="rId611" xr:uid="{99EF53FD-2FA0-4CBD-B348-BC4177892CE6}"/>
    <hyperlink ref="J99" r:id="rId612" xr:uid="{A3F6E130-9A66-45F8-8418-A100D4BCE9EC}"/>
    <hyperlink ref="J100" r:id="rId613" xr:uid="{E4F8E6C2-ED3F-4672-8F6B-8B1B07A8A106}"/>
    <hyperlink ref="J101" r:id="rId614" xr:uid="{70ED0893-55B9-4E68-848C-FC1D5F783505}"/>
    <hyperlink ref="J102" r:id="rId615" xr:uid="{5EC585FE-DCB6-45E5-AA4D-85A293172AAB}"/>
    <hyperlink ref="J103" r:id="rId616" xr:uid="{F4F559FB-6BBC-4ECE-9CBC-3E5BDD8291D6}"/>
    <hyperlink ref="J104" r:id="rId617" xr:uid="{F2B2E53F-66CC-4DE3-A5A1-CFE74E8E720A}"/>
    <hyperlink ref="J106" r:id="rId618" xr:uid="{1E6CA371-FEF7-4C10-BCC8-937A4E066B00}"/>
    <hyperlink ref="J107" r:id="rId619" xr:uid="{9984B810-2020-4915-9852-67A80D774E85}"/>
    <hyperlink ref="J108" r:id="rId620" xr:uid="{D51C3048-3526-4DB0-B617-525E0717F691}"/>
    <hyperlink ref="J110" r:id="rId621" xr:uid="{01E6C994-69D5-47A5-A971-BB76F0196CF0}"/>
    <hyperlink ref="J111" r:id="rId622" xr:uid="{A9DF2C57-C7E6-4957-A84A-82A3149BF008}"/>
    <hyperlink ref="J112" r:id="rId623" xr:uid="{7DFCEDE3-4BD4-4DC4-B2CA-FD0B241CABE2}"/>
    <hyperlink ref="J114" r:id="rId624" xr:uid="{35F80EAA-5E5E-4F80-BDBD-DB74D5B39335}"/>
    <hyperlink ref="J115" r:id="rId625" xr:uid="{B9735BE4-9F46-4B8F-90E2-89FE63550525}"/>
    <hyperlink ref="J116" r:id="rId626" xr:uid="{EF172837-DDF5-4612-9A54-62E59C241973}"/>
    <hyperlink ref="J117" r:id="rId627" xr:uid="{FAE2A792-C4C4-4A3D-AA8D-97BA44AB6704}"/>
    <hyperlink ref="J118" r:id="rId628" xr:uid="{1087630D-5B44-4914-90BD-58CD0C76BE18}"/>
    <hyperlink ref="J119" r:id="rId629" xr:uid="{B6E7CCDD-EE92-4106-8BE6-7606C86399D8}"/>
    <hyperlink ref="J120" r:id="rId630" xr:uid="{259C31C1-DBAB-4D94-8506-13BE0F944D21}"/>
    <hyperlink ref="J121" r:id="rId631" xr:uid="{67E097B5-9078-46F0-800F-C874D907C103}"/>
    <hyperlink ref="J122" r:id="rId632" xr:uid="{519E2745-5E11-4B39-986F-783779FFA4CF}"/>
    <hyperlink ref="J123" r:id="rId633" xr:uid="{B4558704-4032-4BBB-A689-0F7C0FBE1C37}"/>
    <hyperlink ref="J124" r:id="rId634" xr:uid="{FC6A40FC-7F8A-4AD7-BC87-71EB98B1BC86}"/>
    <hyperlink ref="J125" r:id="rId635" xr:uid="{42292B0C-F321-4F15-BD60-3AFAA347A76E}"/>
    <hyperlink ref="J128" r:id="rId636" xr:uid="{76FF5B48-0A5C-4159-B0C0-D774A3168166}"/>
    <hyperlink ref="J129" r:id="rId637" xr:uid="{CB5EA8C7-09D1-4A5D-B2DF-FD2171FA31C1}"/>
    <hyperlink ref="J130" r:id="rId638" xr:uid="{160FB814-846B-4B4A-B887-F6958579117B}"/>
    <hyperlink ref="J131" r:id="rId639" xr:uid="{5002C60F-E53E-49DC-9BA2-211E50A33753}"/>
    <hyperlink ref="J132" r:id="rId640" xr:uid="{F261C02E-B423-4393-9B52-C31DC155A620}"/>
    <hyperlink ref="J133" r:id="rId641" xr:uid="{121B92D4-3805-4685-B52F-360FC0F72BCC}"/>
    <hyperlink ref="J134" r:id="rId642" xr:uid="{1FBE07F6-3BC4-4021-9812-B0267C5B7716}"/>
    <hyperlink ref="J135" r:id="rId643" xr:uid="{17596499-3685-4B3B-B892-CFF4DC0EE95B}"/>
    <hyperlink ref="J136" r:id="rId644" xr:uid="{C1E68306-B61F-424D-BC20-C9463DDE9406}"/>
    <hyperlink ref="J137" r:id="rId645" xr:uid="{E38AFE85-CC20-450B-9171-5D576FF5C52E}"/>
    <hyperlink ref="J139" r:id="rId646" xr:uid="{6ED7BC8F-0C6B-4EC4-A101-65CEFFFA646B}"/>
    <hyperlink ref="J140" r:id="rId647" xr:uid="{C5FB0AB3-3D9A-4E65-9B2C-2A34F677D8A1}"/>
    <hyperlink ref="J143" r:id="rId648" xr:uid="{7EE16F1D-4EF8-41E2-9C8B-7B0D94DB0A29}"/>
    <hyperlink ref="J144" r:id="rId649" xr:uid="{3ADA0352-B524-4E51-B94A-C93750E2441F}"/>
    <hyperlink ref="J145" r:id="rId650" xr:uid="{184D56CF-D532-4F09-B7F6-41A362219253}"/>
    <hyperlink ref="J147" r:id="rId651" xr:uid="{C523B074-0024-4718-871C-A676F61D06C0}"/>
    <hyperlink ref="J148" r:id="rId652" xr:uid="{10496092-D9AC-4A86-B504-8A823FC3B0B8}"/>
    <hyperlink ref="J150" r:id="rId653" xr:uid="{D9B7B1C3-45E8-4F0A-AB92-D50E7561B1B6}"/>
    <hyperlink ref="J152" r:id="rId654" xr:uid="{2D1F604A-0A22-435F-A8AC-F1BCC0503DA4}"/>
    <hyperlink ref="J153" r:id="rId655" xr:uid="{E3F0F0E6-8184-411A-BC1C-4DCAC30761D9}"/>
    <hyperlink ref="J154" r:id="rId656" xr:uid="{D6E16375-D5FB-417C-B3D2-C22853615DB7}"/>
    <hyperlink ref="J151" r:id="rId657" xr:uid="{B2AC6D73-64E7-461B-9117-3F5D30FA6150}"/>
    <hyperlink ref="J149" r:id="rId658" xr:uid="{DDD36902-A4E5-47AE-A9D2-3CB5AF56EF20}"/>
    <hyperlink ref="J155" r:id="rId659" xr:uid="{F0797672-F49F-4FDF-97C9-012665F23DA5}"/>
    <hyperlink ref="J156" r:id="rId660" xr:uid="{333FF74B-96FC-40F0-96DF-BA8F3B164BBC}"/>
    <hyperlink ref="J158" r:id="rId661" xr:uid="{B0942B2F-D294-4D7E-B529-212D68D8C760}"/>
    <hyperlink ref="J159" r:id="rId662" xr:uid="{5AB5AE13-6B9A-4833-96F5-8B817A516D56}"/>
    <hyperlink ref="J160" r:id="rId663" xr:uid="{1869D113-7559-4457-9D55-0C66098DD2C9}"/>
    <hyperlink ref="J161" r:id="rId664" xr:uid="{A1647CFA-7FBE-4F38-8438-BA44FB344D63}"/>
    <hyperlink ref="J162" r:id="rId665" xr:uid="{63FA06D1-48A3-4BAE-ABC0-C3EA8A8983A5}"/>
    <hyperlink ref="J163" r:id="rId666" xr:uid="{B5999B78-4D82-4D7C-9604-739E7222D9C1}"/>
    <hyperlink ref="J164" r:id="rId667" xr:uid="{9862B0E4-4D68-4E9C-8EC6-3C0C3D16F668}"/>
    <hyperlink ref="J165" r:id="rId668" xr:uid="{35398C93-4BDA-4B89-B008-86EDD42F2938}"/>
    <hyperlink ref="J166" r:id="rId669" xr:uid="{7837D7BD-96E7-4A7B-A5F3-529976443D67}"/>
    <hyperlink ref="J167" r:id="rId670" xr:uid="{187B64FA-F134-49F1-BE00-97EBFC992D3E}"/>
    <hyperlink ref="J169" r:id="rId671" xr:uid="{BBB87B4E-0DCC-4F81-86B0-3ADE765D360F}"/>
    <hyperlink ref="J170" r:id="rId672" xr:uid="{6D93B8FA-6816-48EA-98CB-DD7B5741A598}"/>
    <hyperlink ref="J171" r:id="rId673" xr:uid="{45EC7D3F-FDA2-41C7-9CDF-E7D5411C96EA}"/>
    <hyperlink ref="J172" r:id="rId674" xr:uid="{A31F25CC-0DF9-47FA-88B1-692794FEF59F}"/>
    <hyperlink ref="J173" r:id="rId675" xr:uid="{4C3BEB6B-CD5D-4D76-A60E-218314F678F6}"/>
    <hyperlink ref="J176" r:id="rId676" xr:uid="{C1689B5C-1C09-4DF3-9A6F-558A675D8D2D}"/>
    <hyperlink ref="J179" r:id="rId677" xr:uid="{59A6951B-A3FE-4456-B9AE-592A2DFA5B29}"/>
    <hyperlink ref="J180" r:id="rId678" xr:uid="{27758AB4-3C2C-4BE9-8B67-A0351444CD2B}"/>
    <hyperlink ref="J181" r:id="rId679" xr:uid="{068ADAF0-1C66-4AC5-A091-39665A77DC44}"/>
    <hyperlink ref="J183" r:id="rId680" xr:uid="{7BB9F399-6310-4367-BDD4-CD346BA0B9F0}"/>
    <hyperlink ref="J185" r:id="rId681" xr:uid="{DF2FA3DF-D341-4715-AEC1-6F8C5EBAFA87}"/>
    <hyperlink ref="J186" r:id="rId682" xr:uid="{6F4D7FBD-36AE-4646-A797-56BB6E26E9D7}"/>
    <hyperlink ref="J187" r:id="rId683" xr:uid="{BED77125-B4AA-4E45-9DBC-32A2A581B1CE}"/>
    <hyperlink ref="J184" r:id="rId684" xr:uid="{F2F143DC-0419-4EAD-9568-03901A776D3E}"/>
    <hyperlink ref="J182" r:id="rId685" xr:uid="{72CCB450-A169-469B-ABE8-4DDCD4A509DD}"/>
    <hyperlink ref="J188" r:id="rId686" xr:uid="{194297EF-1E29-4456-B322-7C43D4869D0A}"/>
    <hyperlink ref="J189" r:id="rId687" xr:uid="{7A1214A5-6B1C-4953-A4DA-8CF6E146CF92}"/>
    <hyperlink ref="J193" r:id="rId688" xr:uid="{5366F3CA-C295-443C-A8FB-BD12BC7CC078}"/>
    <hyperlink ref="J194" r:id="rId689" xr:uid="{5B4163F8-58A9-41D2-988C-BF872BC1563B}"/>
    <hyperlink ref="J195" r:id="rId690" xr:uid="{2C78D332-4D69-496D-87A2-10087840515D}"/>
    <hyperlink ref="J197" r:id="rId691" xr:uid="{2F372021-3A78-459B-939E-636F49CAAC90}"/>
    <hyperlink ref="J198" r:id="rId692" xr:uid="{506D735A-DA4F-47F4-8A7E-4B8D0E8DCB08}"/>
    <hyperlink ref="J199" r:id="rId693" xr:uid="{EE8C549D-EA32-4BBF-8BEA-F3425466E1A1}"/>
    <hyperlink ref="J200" r:id="rId694" xr:uid="{5A855DD7-47C6-451F-BB37-A26294C7A820}"/>
    <hyperlink ref="J202" r:id="rId695" xr:uid="{4F29200D-3AAF-45AA-87B1-5E47E883ECEC}"/>
    <hyperlink ref="J203" r:id="rId696" xr:uid="{2D851F6E-6A6F-418F-A10A-1EAACF4B28EA}"/>
    <hyperlink ref="J204" r:id="rId697" xr:uid="{29ED1334-210E-41C6-8125-2A4CF6625412}"/>
    <hyperlink ref="J205" r:id="rId698" xr:uid="{F453A279-027B-456C-A997-C534E9244260}"/>
    <hyperlink ref="J206" r:id="rId699" xr:uid="{F731F317-7604-479D-883D-33B187B124A3}"/>
    <hyperlink ref="J219" r:id="rId700" xr:uid="{77FF54C0-AB2D-424E-B3BE-3633CC8FFE8C}"/>
    <hyperlink ref="J224" r:id="rId701" xr:uid="{AAA5D667-CB05-4214-A848-FB0D5C69619D}"/>
    <hyperlink ref="J227" r:id="rId702" xr:uid="{BFC9DDCB-7715-4E6F-B1BA-D20F3B92A1C4}"/>
    <hyperlink ref="J228" r:id="rId703" xr:uid="{7A139FD2-59A4-4A7F-A465-8E3DDBC40415}"/>
    <hyperlink ref="J229" r:id="rId704" xr:uid="{EE79548F-FA8F-441D-8526-9A706C1DB1B4}"/>
    <hyperlink ref="J230" r:id="rId705" xr:uid="{218B6E98-22AD-4828-AA93-1D25FB8EDCAF}"/>
    <hyperlink ref="J233" r:id="rId706" xr:uid="{26818EEF-3958-4FF2-9B4B-8312E1122A2D}"/>
    <hyperlink ref="J234" r:id="rId707" xr:uid="{3153705A-ECC6-43C0-A6F1-261AE4895F8A}"/>
    <hyperlink ref="J250" r:id="rId708" xr:uid="{C0447A30-E754-473A-B65E-DBE0895626C6}"/>
    <hyperlink ref="J263" r:id="rId709" xr:uid="{6B95A4B7-CD70-4C8B-A998-53CB827FE79C}"/>
    <hyperlink ref="J264" r:id="rId710" xr:uid="{DC38A00D-FC40-432E-9305-D7D27F02B714}"/>
    <hyperlink ref="J265" r:id="rId711" xr:uid="{345C898D-55A9-4788-A704-63AA3DF2FA45}"/>
    <hyperlink ref="J266" r:id="rId712" xr:uid="{6FCC9D93-0574-438A-BA24-B38EB49089C6}"/>
    <hyperlink ref="J267" r:id="rId713" xr:uid="{88639194-D7FA-42A3-ACFF-5C167DEE27D7}"/>
    <hyperlink ref="J268" r:id="rId714" xr:uid="{0638CF62-9A6B-4764-9B9D-D5CC25CB6DAE}"/>
    <hyperlink ref="J269" r:id="rId715" xr:uid="{2484D3A4-60A6-452D-9C38-A761C5395DF6}"/>
    <hyperlink ref="J271" r:id="rId716" xr:uid="{65FD4BA3-664C-4215-B3FA-69B6F00E6604}"/>
    <hyperlink ref="J272" r:id="rId717" xr:uid="{85FF047F-6F19-4495-8A72-26C855E71325}"/>
    <hyperlink ref="J273" r:id="rId718" xr:uid="{1A0F23D7-A74F-4386-9C14-0E498E02C1BE}"/>
    <hyperlink ref="J274" r:id="rId719" xr:uid="{F15D6939-9BDD-453E-99A7-482F25F2C405}"/>
    <hyperlink ref="J275" r:id="rId720" xr:uid="{203728D3-046F-4503-ADBA-E31C09DACEDF}"/>
    <hyperlink ref="J283" r:id="rId721" xr:uid="{1EFFD566-CD34-4C40-8762-6EAF21B20C86}"/>
    <hyperlink ref="J284" r:id="rId722" xr:uid="{BBC25F6D-296C-4A03-B264-737E9D63B07A}"/>
    <hyperlink ref="J285" r:id="rId723" xr:uid="{3004E921-39C0-4828-A1E7-B92C845146C1}"/>
    <hyperlink ref="J287" r:id="rId724" xr:uid="{B66F9BB5-9FFF-4A06-8727-350C4CE6C602}"/>
    <hyperlink ref="J288" r:id="rId725" xr:uid="{4786BC9F-ECD5-42F5-84EB-6C76152A5655}"/>
    <hyperlink ref="J289" r:id="rId726" xr:uid="{14BD76D3-6F65-4959-9E38-7692F25C7529}"/>
    <hyperlink ref="J290" r:id="rId727" xr:uid="{AAB82EA1-BE1F-4992-8858-9C744F64C589}"/>
    <hyperlink ref="J291" r:id="rId728" xr:uid="{BFA4FD94-731E-45F8-BDA8-B5AD3CCF8A3A}"/>
    <hyperlink ref="J292" r:id="rId729" xr:uid="{8616C530-BA9C-4FE3-A346-61E90021FFCB}"/>
    <hyperlink ref="J293" r:id="rId730" xr:uid="{37A1A988-5693-47CE-AFAB-EEB39CDEF2D1}"/>
    <hyperlink ref="J294" r:id="rId731" xr:uid="{7409E215-BD54-46BE-8390-8C8413009CB5}"/>
    <hyperlink ref="J295" r:id="rId732" xr:uid="{31B715EB-28A1-4435-9BAE-C411DD148435}"/>
    <hyperlink ref="J331" r:id="rId733" xr:uid="{81B17226-8141-414C-8C04-3EA4CBD9CD4E}"/>
    <hyperlink ref="J333" r:id="rId734" xr:uid="{6289F0C8-D282-4D06-A6C4-FC0F55643E9E}"/>
    <hyperlink ref="J348" r:id="rId735" xr:uid="{BFCA44EF-F8F3-420C-827B-25DEA3B3FFF5}"/>
    <hyperlink ref="J349" r:id="rId736" xr:uid="{185914A3-E873-4805-902B-0BA3687721B5}"/>
    <hyperlink ref="J356" r:id="rId737" xr:uid="{29C744CA-02FF-441A-8316-FC125E1BAE1A}"/>
    <hyperlink ref="J357" r:id="rId738" xr:uid="{0103A484-02A4-4AF8-8400-D806EC716D0D}"/>
    <hyperlink ref="J362" r:id="rId739" xr:uid="{CC1291C4-F907-4467-B611-811B1D9AC5F6}"/>
    <hyperlink ref="J378" r:id="rId740" xr:uid="{367ED91A-AA7C-4FB6-A376-46091FF893A9}"/>
    <hyperlink ref="J379" r:id="rId741" xr:uid="{8EDE0B35-5229-4044-B5F2-FA8FA644471A}"/>
    <hyperlink ref="J382" r:id="rId742" xr:uid="{9C5ED42B-DE39-4E80-8B5F-9BE04EEE1A17}"/>
    <hyperlink ref="J384" r:id="rId743" xr:uid="{7463EE1C-04DD-40EA-AEB3-F4666F5486A7}"/>
    <hyperlink ref="J385" r:id="rId744" xr:uid="{2E1883AE-303E-4434-8990-069BCC556260}"/>
    <hyperlink ref="J391" r:id="rId745" xr:uid="{D5A88783-9549-4433-914F-798D3AEFCC2A}"/>
    <hyperlink ref="J407" r:id="rId746" xr:uid="{CF2E5F45-C488-4844-8AB8-F32E2FA04201}"/>
    <hyperlink ref="J408" r:id="rId747" xr:uid="{8676B65C-99D7-44BD-A6D9-CE7EEED40A74}"/>
    <hyperlink ref="J416" r:id="rId748" xr:uid="{9E325EA3-7838-44C4-B613-03F448E36DC4}"/>
    <hyperlink ref="J429" r:id="rId749" xr:uid="{2B1CC469-306C-4C68-912B-5EEC8C19374C}"/>
    <hyperlink ref="J431" r:id="rId750" xr:uid="{29C6BBED-847F-4934-AFE1-B43C8BDB4658}"/>
    <hyperlink ref="J437" r:id="rId751" xr:uid="{CD869B3D-2E21-4FF5-AD86-D797A326E588}"/>
    <hyperlink ref="J448" r:id="rId752" xr:uid="{678A74F9-63EE-48C6-9CAB-9A54E266B879}"/>
    <hyperlink ref="J461" r:id="rId753" xr:uid="{7288BDEF-5135-491E-8AEB-40DF901B3E8C}"/>
    <hyperlink ref="J473" r:id="rId754" xr:uid="{2012E90A-41DC-4CA3-A0F4-12673776ADFC}"/>
    <hyperlink ref="J476" r:id="rId755" xr:uid="{8D726B88-DE32-4018-8A25-3A5D081C0CDB}"/>
    <hyperlink ref="J478" r:id="rId756" xr:uid="{3E3ADBE6-6782-44FA-B55A-91DE32E44C5D}"/>
    <hyperlink ref="J601" r:id="rId757" xr:uid="{F8CAC012-110B-4D83-ABFC-9CF1D5033856}"/>
    <hyperlink ref="J617" r:id="rId758" xr:uid="{78C59363-3254-45BE-9CAC-B9E6CD2EB2CB}"/>
    <hyperlink ref="J618" r:id="rId759" xr:uid="{837136E0-8FE2-4C51-B9C4-ACDA8DBE0F67}"/>
    <hyperlink ref="J623" r:id="rId760" xr:uid="{18CDABCA-7D53-4392-B109-750799A8CAC0}"/>
    <hyperlink ref="J640" r:id="rId761" xr:uid="{1B1BE9AC-1F02-4ADA-91CB-6BB29D819DC5}"/>
  </hyperlinks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f7a5a4ef-4ffa-4c80-bfb3-c12e28872099}" enabled="0" method="" siteId="{f7a5a4ef-4ffa-4c80-bfb3-c12e2887209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GitHub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Joanne Muller</dc:creator>
  <cp:keywords/>
  <dc:description/>
  <cp:lastModifiedBy>Muller, Dr. Jo</cp:lastModifiedBy>
  <cp:revision/>
  <dcterms:created xsi:type="dcterms:W3CDTF">2025-12-16T15:06:32Z</dcterms:created>
  <dcterms:modified xsi:type="dcterms:W3CDTF">2026-01-21T17:22:47Z</dcterms:modified>
  <cp:category/>
  <cp:contentStatus/>
</cp:coreProperties>
</file>